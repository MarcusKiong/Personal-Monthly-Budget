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Marcus\TAR\202105\BAMS3043 Maths n Stats Software\A1\"/>
    </mc:Choice>
  </mc:AlternateContent>
  <xr:revisionPtr revIDLastSave="0" documentId="13_ncr:1_{6E091AE7-AD0E-44B2-853A-F62810DC636A}" xr6:coauthVersionLast="47" xr6:coauthVersionMax="47" xr10:uidLastSave="{00000000-0000-0000-0000-000000000000}"/>
  <bookViews>
    <workbookView xWindow="-108" yWindow="-108" windowWidth="23256" windowHeight="13176" tabRatio="670" activeTab="1" xr2:uid="{00000000-000D-0000-FFFF-FFFF00000000}"/>
  </bookViews>
  <sheets>
    <sheet name="Jan" sheetId="1" r:id="rId1"/>
    <sheet name="Feb" sheetId="11" r:id="rId2"/>
    <sheet name="Mar" sheetId="12" r:id="rId3"/>
    <sheet name="Apr" sheetId="13" r:id="rId4"/>
    <sheet name="SnapShot" sheetId="4" r:id="rId5"/>
    <sheet name="MasterData (MTH)" sheetId="2" r:id="rId6"/>
    <sheet name="MasterData (YTD)" sheetId="6" r:id="rId7"/>
    <sheet name="Charts Table" sheetId="3" r:id="rId8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0" i="12" l="1"/>
  <c r="B14" i="12"/>
  <c r="B21" i="12"/>
  <c r="G16" i="12"/>
  <c r="G29" i="13"/>
  <c r="G29" i="12"/>
  <c r="G29" i="11"/>
  <c r="H35" i="1"/>
  <c r="G29" i="1"/>
  <c r="H10" i="13"/>
  <c r="D4" i="11"/>
  <c r="H21" i="1"/>
  <c r="M11" i="1"/>
  <c r="M13" i="1"/>
  <c r="M15" i="1"/>
  <c r="M5" i="11"/>
  <c r="D7" i="11"/>
  <c r="I7" i="11"/>
  <c r="D8" i="11"/>
  <c r="I8" i="11"/>
  <c r="M8" i="11"/>
  <c r="D9" i="11"/>
  <c r="I9" i="11"/>
  <c r="D10" i="11"/>
  <c r="G10" i="11"/>
  <c r="H10" i="11"/>
  <c r="I10" i="11"/>
  <c r="D11" i="11"/>
  <c r="C14" i="11"/>
  <c r="C21" i="11"/>
  <c r="C26" i="11"/>
  <c r="H16" i="11"/>
  <c r="H21" i="11"/>
  <c r="H29" i="11"/>
  <c r="H35" i="11"/>
  <c r="M11" i="11"/>
  <c r="D12" i="11"/>
  <c r="D13" i="11"/>
  <c r="I13" i="11"/>
  <c r="M13" i="11"/>
  <c r="B14" i="11"/>
  <c r="D14" i="11"/>
  <c r="I14" i="11"/>
  <c r="I15" i="11"/>
  <c r="M15" i="11"/>
  <c r="G16" i="11"/>
  <c r="I16" i="11"/>
  <c r="D17" i="11"/>
  <c r="D18" i="11"/>
  <c r="D19" i="11"/>
  <c r="I19" i="11"/>
  <c r="D20" i="11"/>
  <c r="I20" i="11"/>
  <c r="B21" i="11"/>
  <c r="D21" i="11"/>
  <c r="G21" i="11"/>
  <c r="I21" i="11"/>
  <c r="D24" i="11"/>
  <c r="I24" i="11"/>
  <c r="D25" i="11"/>
  <c r="I25" i="11"/>
  <c r="B26" i="11"/>
  <c r="D26" i="11"/>
  <c r="I26" i="11"/>
  <c r="I27" i="11"/>
  <c r="I28" i="11"/>
  <c r="I29" i="11"/>
  <c r="G32" i="11"/>
  <c r="I32" i="11"/>
  <c r="G35" i="11"/>
  <c r="I35" i="11"/>
  <c r="D4" i="12"/>
  <c r="M5" i="12"/>
  <c r="D7" i="12"/>
  <c r="I7" i="12"/>
  <c r="D8" i="12"/>
  <c r="I8" i="12"/>
  <c r="M8" i="12"/>
  <c r="D9" i="12"/>
  <c r="I9" i="12"/>
  <c r="D10" i="12"/>
  <c r="H10" i="12"/>
  <c r="I10" i="12"/>
  <c r="D11" i="12"/>
  <c r="C14" i="12"/>
  <c r="C21" i="12"/>
  <c r="C26" i="12"/>
  <c r="H16" i="12"/>
  <c r="H21" i="12"/>
  <c r="H29" i="12"/>
  <c r="H35" i="12"/>
  <c r="M11" i="12"/>
  <c r="D12" i="12"/>
  <c r="D13" i="12"/>
  <c r="I13" i="12"/>
  <c r="M13" i="12"/>
  <c r="D14" i="12"/>
  <c r="I14" i="12"/>
  <c r="I15" i="12"/>
  <c r="M15" i="12"/>
  <c r="I16" i="12"/>
  <c r="D17" i="12"/>
  <c r="D18" i="12"/>
  <c r="D19" i="12"/>
  <c r="I19" i="12"/>
  <c r="D20" i="12"/>
  <c r="I20" i="12"/>
  <c r="D21" i="12"/>
  <c r="G21" i="12"/>
  <c r="I21" i="12"/>
  <c r="D24" i="12"/>
  <c r="I24" i="12"/>
  <c r="D25" i="12"/>
  <c r="I25" i="12"/>
  <c r="B26" i="12"/>
  <c r="D26" i="12"/>
  <c r="I26" i="12"/>
  <c r="I27" i="12"/>
  <c r="I28" i="12"/>
  <c r="I29" i="12"/>
  <c r="G32" i="12"/>
  <c r="I32" i="12"/>
  <c r="G35" i="12"/>
  <c r="I35" i="12"/>
  <c r="B1" i="3"/>
  <c r="C2" i="2"/>
  <c r="C2" i="6"/>
  <c r="E2" i="3"/>
  <c r="C3" i="2"/>
  <c r="C3" i="6"/>
  <c r="E3" i="3"/>
  <c r="E43" i="3"/>
  <c r="C4" i="2"/>
  <c r="C4" i="6"/>
  <c r="E4" i="3"/>
  <c r="C5" i="2"/>
  <c r="C5" i="6"/>
  <c r="E5" i="3"/>
  <c r="C6" i="2"/>
  <c r="C6" i="6"/>
  <c r="E6" i="3"/>
  <c r="C7" i="2"/>
  <c r="C7" i="6"/>
  <c r="E7" i="3"/>
  <c r="C8" i="2"/>
  <c r="C8" i="6"/>
  <c r="E8" i="3"/>
  <c r="C9" i="2"/>
  <c r="C9" i="6"/>
  <c r="E9" i="3"/>
  <c r="C10" i="2"/>
  <c r="C10" i="6"/>
  <c r="E10" i="3"/>
  <c r="E33" i="3"/>
  <c r="C11" i="2"/>
  <c r="C11" i="6"/>
  <c r="E11" i="3"/>
  <c r="C12" i="2"/>
  <c r="C12" i="6"/>
  <c r="E12" i="3"/>
  <c r="C13" i="2"/>
  <c r="C13" i="6"/>
  <c r="E13" i="3"/>
  <c r="C14" i="2"/>
  <c r="C14" i="6"/>
  <c r="E14" i="3"/>
  <c r="E34" i="3"/>
  <c r="C15" i="2"/>
  <c r="C15" i="6"/>
  <c r="E15" i="3"/>
  <c r="C16" i="2"/>
  <c r="C16" i="6"/>
  <c r="E16" i="3"/>
  <c r="E35" i="3"/>
  <c r="B17" i="2"/>
  <c r="B17" i="6"/>
  <c r="C17" i="2"/>
  <c r="C17" i="6"/>
  <c r="E17" i="3"/>
  <c r="C18" i="2"/>
  <c r="C18" i="6"/>
  <c r="E18" i="3"/>
  <c r="C19" i="2"/>
  <c r="C19" i="6"/>
  <c r="E19" i="3"/>
  <c r="E36" i="3"/>
  <c r="C20" i="2"/>
  <c r="C20" i="6"/>
  <c r="E20" i="3"/>
  <c r="C21" i="2"/>
  <c r="C21" i="6"/>
  <c r="E21" i="3"/>
  <c r="C22" i="2"/>
  <c r="C22" i="6"/>
  <c r="E22" i="3"/>
  <c r="E37" i="3"/>
  <c r="C23" i="2"/>
  <c r="C23" i="6"/>
  <c r="E23" i="3"/>
  <c r="C24" i="2"/>
  <c r="B24" i="2"/>
  <c r="B24" i="6"/>
  <c r="C24" i="6"/>
  <c r="E24" i="3"/>
  <c r="E38" i="3"/>
  <c r="C25" i="2"/>
  <c r="C25" i="6"/>
  <c r="E25" i="3"/>
  <c r="C26" i="2"/>
  <c r="C26" i="6"/>
  <c r="E26" i="3"/>
  <c r="C27" i="2"/>
  <c r="C27" i="6"/>
  <c r="E27" i="3"/>
  <c r="C28" i="2"/>
  <c r="C28" i="6"/>
  <c r="E28" i="3"/>
  <c r="C29" i="2"/>
  <c r="C29" i="6"/>
  <c r="E29" i="3"/>
  <c r="E39" i="3"/>
  <c r="C30" i="2"/>
  <c r="C30" i="6"/>
  <c r="E30" i="3"/>
  <c r="E40" i="3"/>
  <c r="E44" i="3"/>
  <c r="E45" i="3"/>
  <c r="H10" i="1"/>
  <c r="C41" i="6"/>
  <c r="D2" i="2"/>
  <c r="D2" i="6"/>
  <c r="D3" i="2"/>
  <c r="D3" i="6"/>
  <c r="D41" i="6"/>
  <c r="M5" i="13"/>
  <c r="E2" i="2"/>
  <c r="E2" i="6"/>
  <c r="E3" i="2"/>
  <c r="E3" i="6"/>
  <c r="E41" i="6"/>
  <c r="B35" i="2"/>
  <c r="B35" i="6"/>
  <c r="C35" i="2"/>
  <c r="C35" i="6"/>
  <c r="C32" i="2"/>
  <c r="C32" i="6"/>
  <c r="C33" i="2"/>
  <c r="C33" i="6"/>
  <c r="C34" i="2"/>
  <c r="C34" i="6"/>
  <c r="C36" i="2"/>
  <c r="C36" i="6"/>
  <c r="C37" i="2"/>
  <c r="B37" i="2"/>
  <c r="B37" i="6"/>
  <c r="C37" i="6"/>
  <c r="C38" i="2"/>
  <c r="C38" i="6"/>
  <c r="C39" i="2"/>
  <c r="C39" i="6"/>
  <c r="C42" i="6"/>
  <c r="D35" i="2"/>
  <c r="D35" i="6"/>
  <c r="D32" i="2"/>
  <c r="D32" i="6"/>
  <c r="D33" i="2"/>
  <c r="D33" i="6"/>
  <c r="D34" i="2"/>
  <c r="D34" i="6"/>
  <c r="D36" i="2"/>
  <c r="D36" i="6"/>
  <c r="D37" i="2"/>
  <c r="D37" i="6"/>
  <c r="D38" i="2"/>
  <c r="D38" i="6"/>
  <c r="D39" i="2"/>
  <c r="D39" i="6"/>
  <c r="D42" i="6"/>
  <c r="E35" i="2"/>
  <c r="E35" i="6"/>
  <c r="C14" i="13"/>
  <c r="E32" i="2"/>
  <c r="E32" i="6"/>
  <c r="C21" i="13"/>
  <c r="E33" i="2"/>
  <c r="E33" i="6"/>
  <c r="C26" i="13"/>
  <c r="E34" i="2"/>
  <c r="E34" i="6"/>
  <c r="H16" i="13"/>
  <c r="E36" i="2"/>
  <c r="E36" i="6"/>
  <c r="H21" i="13"/>
  <c r="E37" i="2"/>
  <c r="E37" i="6"/>
  <c r="H29" i="13"/>
  <c r="E38" i="2"/>
  <c r="E38" i="6"/>
  <c r="E39" i="2"/>
  <c r="E39" i="6"/>
  <c r="E42" i="6"/>
  <c r="C43" i="6"/>
  <c r="D43" i="6"/>
  <c r="E43" i="6"/>
  <c r="B42" i="6"/>
  <c r="B43" i="6"/>
  <c r="B41" i="6"/>
  <c r="B2" i="3"/>
  <c r="B3" i="2"/>
  <c r="B3" i="3"/>
  <c r="B43" i="3"/>
  <c r="B4" i="3"/>
  <c r="B5" i="3"/>
  <c r="B6" i="3"/>
  <c r="B7" i="3"/>
  <c r="B8" i="3"/>
  <c r="B9" i="3"/>
  <c r="B10" i="3"/>
  <c r="B33" i="3"/>
  <c r="B11" i="3"/>
  <c r="B12" i="3"/>
  <c r="B13" i="3"/>
  <c r="B14" i="3"/>
  <c r="B34" i="3"/>
  <c r="B15" i="3"/>
  <c r="B16" i="3"/>
  <c r="B35" i="3"/>
  <c r="B17" i="3"/>
  <c r="B18" i="3"/>
  <c r="B19" i="2"/>
  <c r="B19" i="3"/>
  <c r="B36" i="3"/>
  <c r="B20" i="3"/>
  <c r="B21" i="3"/>
  <c r="B22" i="3"/>
  <c r="B37" i="3"/>
  <c r="B23" i="3"/>
  <c r="B24" i="3"/>
  <c r="B38" i="3"/>
  <c r="B25" i="3"/>
  <c r="B26" i="3"/>
  <c r="B27" i="3"/>
  <c r="B28" i="3"/>
  <c r="B29" i="2"/>
  <c r="B29" i="3"/>
  <c r="B39" i="3"/>
  <c r="B30" i="3"/>
  <c r="B40" i="3"/>
  <c r="B44" i="3"/>
  <c r="B45" i="3"/>
  <c r="B3" i="6"/>
  <c r="B19" i="6"/>
  <c r="B29" i="6"/>
  <c r="H29" i="1"/>
  <c r="M8" i="1"/>
  <c r="B2" i="6"/>
  <c r="B2" i="2"/>
  <c r="D41" i="2"/>
  <c r="D42" i="2"/>
  <c r="D43" i="2"/>
  <c r="D44" i="2"/>
  <c r="E41" i="2"/>
  <c r="E42" i="2"/>
  <c r="E43" i="2"/>
  <c r="E44" i="2"/>
  <c r="C41" i="2"/>
  <c r="C42" i="2"/>
  <c r="C43" i="2"/>
  <c r="C44" i="2"/>
  <c r="B41" i="2"/>
  <c r="C47" i="2"/>
  <c r="H3" i="3"/>
  <c r="C48" i="2"/>
  <c r="H4" i="3"/>
  <c r="C49" i="2"/>
  <c r="H5" i="3"/>
  <c r="C50" i="2"/>
  <c r="H6" i="3"/>
  <c r="C51" i="2"/>
  <c r="H7" i="3"/>
  <c r="C52" i="2"/>
  <c r="H8" i="3"/>
  <c r="C53" i="2"/>
  <c r="H9" i="3"/>
  <c r="C54" i="2"/>
  <c r="H10" i="3"/>
  <c r="C55" i="2"/>
  <c r="H11" i="3"/>
  <c r="C56" i="2"/>
  <c r="H12" i="3"/>
  <c r="C57" i="2"/>
  <c r="H13" i="3"/>
  <c r="C58" i="2"/>
  <c r="H14" i="3"/>
  <c r="C59" i="2"/>
  <c r="H15" i="3"/>
  <c r="C60" i="2"/>
  <c r="I7" i="1"/>
  <c r="B60" i="2"/>
  <c r="H16" i="3"/>
  <c r="C61" i="2"/>
  <c r="H17" i="3"/>
  <c r="C62" i="2"/>
  <c r="I9" i="1"/>
  <c r="B62" i="2"/>
  <c r="H18" i="3"/>
  <c r="C63" i="2"/>
  <c r="H19" i="3"/>
  <c r="C64" i="2"/>
  <c r="H20" i="3"/>
  <c r="C65" i="2"/>
  <c r="H21" i="3"/>
  <c r="C66" i="2"/>
  <c r="H22" i="3"/>
  <c r="C67" i="2"/>
  <c r="I20" i="1"/>
  <c r="B67" i="2"/>
  <c r="H23" i="3"/>
  <c r="C68" i="2"/>
  <c r="H24" i="3"/>
  <c r="C69" i="2"/>
  <c r="H25" i="3"/>
  <c r="C70" i="2"/>
  <c r="H26" i="3"/>
  <c r="C71" i="2"/>
  <c r="H27" i="3"/>
  <c r="C72" i="2"/>
  <c r="I28" i="1"/>
  <c r="B72" i="2"/>
  <c r="H28" i="3"/>
  <c r="C73" i="2"/>
  <c r="G32" i="1"/>
  <c r="I32" i="1"/>
  <c r="B73" i="2"/>
  <c r="H29" i="3"/>
  <c r="J9" i="3" a="1"/>
  <c r="L10" i="3"/>
  <c r="L11" i="3"/>
  <c r="L12" i="3"/>
  <c r="L13" i="3"/>
  <c r="L9" i="3"/>
  <c r="G32" i="13"/>
  <c r="I32" i="13"/>
  <c r="E73" i="2"/>
  <c r="I28" i="13"/>
  <c r="E72" i="2"/>
  <c r="I27" i="13"/>
  <c r="E71" i="2"/>
  <c r="I26" i="13"/>
  <c r="E70" i="2"/>
  <c r="I25" i="13"/>
  <c r="E69" i="2"/>
  <c r="I24" i="13"/>
  <c r="E68" i="2"/>
  <c r="I20" i="13"/>
  <c r="E67" i="2"/>
  <c r="I19" i="13"/>
  <c r="E66" i="2"/>
  <c r="I15" i="13"/>
  <c r="E65" i="2"/>
  <c r="I14" i="13"/>
  <c r="E64" i="2"/>
  <c r="I13" i="13"/>
  <c r="E63" i="2"/>
  <c r="I9" i="13"/>
  <c r="E62" i="2"/>
  <c r="I8" i="13"/>
  <c r="E61" i="2"/>
  <c r="I7" i="13"/>
  <c r="E60" i="2"/>
  <c r="D25" i="13"/>
  <c r="E59" i="2"/>
  <c r="D24" i="13"/>
  <c r="E58" i="2"/>
  <c r="D20" i="13"/>
  <c r="E57" i="2"/>
  <c r="D19" i="13"/>
  <c r="E56" i="2"/>
  <c r="D18" i="13"/>
  <c r="E55" i="2"/>
  <c r="D17" i="13"/>
  <c r="E54" i="2"/>
  <c r="D13" i="13"/>
  <c r="E53" i="2"/>
  <c r="D12" i="13"/>
  <c r="E52" i="2"/>
  <c r="D11" i="13"/>
  <c r="E51" i="2"/>
  <c r="D10" i="13"/>
  <c r="E50" i="2"/>
  <c r="D9" i="13"/>
  <c r="E49" i="2"/>
  <c r="D8" i="13"/>
  <c r="E48" i="2"/>
  <c r="D7" i="13"/>
  <c r="E47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B71" i="2"/>
  <c r="B70" i="2"/>
  <c r="B69" i="2"/>
  <c r="B68" i="2"/>
  <c r="B66" i="2"/>
  <c r="B65" i="2"/>
  <c r="B64" i="2"/>
  <c r="B63" i="2"/>
  <c r="B61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D4" i="2"/>
  <c r="B4" i="2"/>
  <c r="B4" i="6"/>
  <c r="D4" i="6"/>
  <c r="E4" i="2"/>
  <c r="E4" i="6"/>
  <c r="D5" i="2"/>
  <c r="B5" i="2"/>
  <c r="B5" i="6"/>
  <c r="D5" i="6"/>
  <c r="E5" i="2"/>
  <c r="E5" i="6"/>
  <c r="D6" i="2"/>
  <c r="B6" i="2"/>
  <c r="B6" i="6"/>
  <c r="D6" i="6"/>
  <c r="E6" i="2"/>
  <c r="E6" i="6"/>
  <c r="D7" i="2"/>
  <c r="B7" i="2"/>
  <c r="B7" i="6"/>
  <c r="D7" i="6"/>
  <c r="E7" i="2"/>
  <c r="E7" i="6"/>
  <c r="D8" i="2"/>
  <c r="B8" i="2"/>
  <c r="B8" i="6"/>
  <c r="D8" i="6"/>
  <c r="E8" i="2"/>
  <c r="E8" i="6"/>
  <c r="D9" i="2"/>
  <c r="B9" i="2"/>
  <c r="B9" i="6"/>
  <c r="D9" i="6"/>
  <c r="E9" i="2"/>
  <c r="E9" i="6"/>
  <c r="D10" i="2"/>
  <c r="B10" i="2"/>
  <c r="B10" i="6"/>
  <c r="D10" i="6"/>
  <c r="E10" i="2"/>
  <c r="E10" i="6"/>
  <c r="D11" i="2"/>
  <c r="B11" i="2"/>
  <c r="B11" i="6"/>
  <c r="D11" i="6"/>
  <c r="E11" i="2"/>
  <c r="E11" i="6"/>
  <c r="D12" i="2"/>
  <c r="B12" i="2"/>
  <c r="B12" i="6"/>
  <c r="D12" i="6"/>
  <c r="E12" i="2"/>
  <c r="E12" i="6"/>
  <c r="D13" i="2"/>
  <c r="B13" i="2"/>
  <c r="B13" i="6"/>
  <c r="D13" i="6"/>
  <c r="E13" i="2"/>
  <c r="E13" i="6"/>
  <c r="D14" i="2"/>
  <c r="B14" i="2"/>
  <c r="B14" i="6"/>
  <c r="D14" i="6"/>
  <c r="E14" i="2"/>
  <c r="E14" i="6"/>
  <c r="D15" i="2"/>
  <c r="B15" i="2"/>
  <c r="B15" i="6"/>
  <c r="D15" i="6"/>
  <c r="E15" i="2"/>
  <c r="E15" i="6"/>
  <c r="D16" i="2"/>
  <c r="B16" i="2"/>
  <c r="B16" i="6"/>
  <c r="D16" i="6"/>
  <c r="E16" i="2"/>
  <c r="E16" i="6"/>
  <c r="D17" i="2"/>
  <c r="D17" i="6"/>
  <c r="E17" i="2"/>
  <c r="E17" i="6"/>
  <c r="D18" i="2"/>
  <c r="B18" i="2"/>
  <c r="B18" i="6"/>
  <c r="D18" i="6"/>
  <c r="E18" i="2"/>
  <c r="E18" i="6"/>
  <c r="D19" i="2"/>
  <c r="D19" i="6"/>
  <c r="E19" i="2"/>
  <c r="E19" i="6"/>
  <c r="D20" i="2"/>
  <c r="B20" i="2"/>
  <c r="B20" i="6"/>
  <c r="D20" i="6"/>
  <c r="E20" i="2"/>
  <c r="E20" i="6"/>
  <c r="D21" i="2"/>
  <c r="B21" i="2"/>
  <c r="B21" i="6"/>
  <c r="D21" i="6"/>
  <c r="E21" i="2"/>
  <c r="E21" i="6"/>
  <c r="D22" i="2"/>
  <c r="B22" i="2"/>
  <c r="B22" i="6"/>
  <c r="D22" i="6"/>
  <c r="E22" i="2"/>
  <c r="E22" i="6"/>
  <c r="D23" i="2"/>
  <c r="B23" i="2"/>
  <c r="B23" i="6"/>
  <c r="D23" i="6"/>
  <c r="E23" i="2"/>
  <c r="E23" i="6"/>
  <c r="D24" i="2"/>
  <c r="D24" i="6"/>
  <c r="E24" i="2"/>
  <c r="E24" i="6"/>
  <c r="D25" i="2"/>
  <c r="B25" i="2"/>
  <c r="B25" i="6"/>
  <c r="D25" i="6"/>
  <c r="E25" i="2"/>
  <c r="E25" i="6"/>
  <c r="D26" i="2"/>
  <c r="B26" i="2"/>
  <c r="B26" i="6"/>
  <c r="D26" i="6"/>
  <c r="E26" i="2"/>
  <c r="E26" i="6"/>
  <c r="D27" i="2"/>
  <c r="B27" i="2"/>
  <c r="B27" i="6"/>
  <c r="D27" i="6"/>
  <c r="E27" i="2"/>
  <c r="E27" i="6"/>
  <c r="D28" i="2"/>
  <c r="B28" i="2"/>
  <c r="B28" i="6"/>
  <c r="D28" i="6"/>
  <c r="E28" i="2"/>
  <c r="E28" i="6"/>
  <c r="D29" i="2"/>
  <c r="D29" i="6"/>
  <c r="E29" i="2"/>
  <c r="E29" i="6"/>
  <c r="B30" i="2"/>
  <c r="B30" i="6"/>
  <c r="D30" i="2"/>
  <c r="D30" i="6"/>
  <c r="E30" i="2"/>
  <c r="E30" i="6"/>
  <c r="C31" i="6"/>
  <c r="D31" i="6"/>
  <c r="E31" i="6"/>
  <c r="B32" i="2"/>
  <c r="B32" i="6"/>
  <c r="B33" i="2"/>
  <c r="B33" i="6"/>
  <c r="B34" i="2"/>
  <c r="B34" i="6"/>
  <c r="B36" i="2"/>
  <c r="B36" i="6"/>
  <c r="B38" i="2"/>
  <c r="B38" i="6"/>
  <c r="B39" i="2"/>
  <c r="B39" i="6"/>
  <c r="B42" i="2"/>
  <c r="B43" i="2"/>
  <c r="B44" i="2"/>
  <c r="B14" i="13"/>
  <c r="B21" i="13"/>
  <c r="B26" i="13"/>
  <c r="G16" i="13"/>
  <c r="G10" i="13"/>
  <c r="G21" i="13"/>
  <c r="G35" i="13"/>
  <c r="H35" i="13"/>
  <c r="I35" i="13"/>
  <c r="I29" i="13"/>
  <c r="D26" i="13"/>
  <c r="I21" i="13"/>
  <c r="D21" i="13"/>
  <c r="I16" i="13"/>
  <c r="M8" i="13"/>
  <c r="M11" i="13"/>
  <c r="M13" i="13"/>
  <c r="M15" i="13"/>
  <c r="D14" i="13"/>
  <c r="I10" i="13"/>
  <c r="D4" i="13"/>
  <c r="H1" i="3"/>
  <c r="C14" i="1"/>
  <c r="C21" i="1"/>
  <c r="C26" i="1"/>
  <c r="H16" i="1"/>
  <c r="E1" i="3"/>
  <c r="D7" i="1"/>
  <c r="D8" i="1"/>
  <c r="D9" i="1"/>
  <c r="D10" i="1"/>
  <c r="D11" i="1"/>
  <c r="D12" i="1"/>
  <c r="D13" i="1"/>
  <c r="D17" i="1"/>
  <c r="D18" i="1"/>
  <c r="D19" i="1"/>
  <c r="D20" i="1"/>
  <c r="D24" i="1"/>
  <c r="D25" i="1"/>
  <c r="I8" i="1"/>
  <c r="I13" i="1"/>
  <c r="I14" i="1"/>
  <c r="I15" i="1"/>
  <c r="I19" i="1"/>
  <c r="I24" i="1"/>
  <c r="I25" i="1"/>
  <c r="I26" i="1"/>
  <c r="I27" i="1"/>
  <c r="J9" i="3"/>
  <c r="J2" i="3" a="1"/>
  <c r="J2" i="3"/>
  <c r="D4" i="1"/>
  <c r="B14" i="1"/>
  <c r="B21" i="1"/>
  <c r="B26" i="1"/>
  <c r="G16" i="1"/>
  <c r="G10" i="1"/>
  <c r="G21" i="1"/>
  <c r="G35" i="1"/>
  <c r="I35" i="1"/>
  <c r="D14" i="1"/>
  <c r="I29" i="1"/>
  <c r="I21" i="1"/>
  <c r="I16" i="1"/>
  <c r="I10" i="1"/>
  <c r="D26" i="1"/>
  <c r="D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<sst xmlns="http://schemas.openxmlformats.org/spreadsheetml/2006/main" count="527" uniqueCount="96">
  <si>
    <t>Projected</t>
  </si>
  <si>
    <t>Actual</t>
  </si>
  <si>
    <t>Difference</t>
  </si>
  <si>
    <t>Income</t>
  </si>
  <si>
    <t>Month:</t>
  </si>
  <si>
    <t>JAN</t>
  </si>
  <si>
    <t>Housing:</t>
  </si>
  <si>
    <t>Transportation:</t>
  </si>
  <si>
    <t>Food:</t>
  </si>
  <si>
    <t>H-Ttl</t>
  </si>
  <si>
    <t>T-Ttl</t>
  </si>
  <si>
    <t>F-Ttl</t>
  </si>
  <si>
    <t>Entertainment:</t>
  </si>
  <si>
    <t>E-Ttl</t>
  </si>
  <si>
    <t>Loans:</t>
  </si>
  <si>
    <t>L-Ttl</t>
  </si>
  <si>
    <t>Savings, Investment</t>
  </si>
  <si>
    <t>Personal Development (Books, Courses)</t>
  </si>
  <si>
    <t>PD - Ttl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</si>
  <si>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</si>
  <si>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</si>
  <si>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</si>
  <si>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</si>
  <si>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</si>
  <si>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</si>
  <si>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</si>
  <si>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</si>
  <si>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</si>
  <si>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</si>
  <si>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</si>
  <si>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</si>
  <si>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PD-Ttl</t>
  </si>
  <si>
    <t>MP-Ttl</t>
  </si>
  <si>
    <t>SI-Ttl</t>
  </si>
  <si>
    <t>Surplus/Deficit</t>
  </si>
  <si>
    <t>CashFlows:</t>
  </si>
  <si>
    <t>Inflows:</t>
  </si>
  <si>
    <t>Salary</t>
  </si>
  <si>
    <t>Cash @ Bank/In-Hand b/f</t>
  </si>
  <si>
    <t>Balance c/f</t>
  </si>
  <si>
    <t>Cash In-Flows</t>
  </si>
  <si>
    <t>Cash Out-Flows</t>
  </si>
  <si>
    <t>Monthly Personal Budget:</t>
  </si>
  <si>
    <t>Marcus Kiong</t>
  </si>
  <si>
    <t>MP - Ttl</t>
  </si>
  <si>
    <t>SI - Ttl</t>
  </si>
  <si>
    <t>Cash OutFlows:</t>
  </si>
  <si>
    <t>YTD:</t>
  </si>
  <si>
    <t>BY MONTH</t>
  </si>
  <si>
    <t>BY MONTH (YEAR TO DATE)</t>
  </si>
  <si>
    <t>Games</t>
  </si>
  <si>
    <t>Movies</t>
  </si>
  <si>
    <t>Gas/Oil</t>
  </si>
  <si>
    <t>Medical, Personal Hygiene:</t>
  </si>
  <si>
    <t>Clothing</t>
  </si>
  <si>
    <t>Toiletries</t>
  </si>
  <si>
    <t>First-aid/Meds</t>
  </si>
  <si>
    <t>Grooming</t>
  </si>
  <si>
    <t>Books</t>
  </si>
  <si>
    <t>Education</t>
  </si>
  <si>
    <t>Net Income</t>
  </si>
  <si>
    <t>Sports/Activities</t>
  </si>
  <si>
    <t>House Loan</t>
  </si>
  <si>
    <t>Select Month:</t>
  </si>
  <si>
    <t>Medical Insurance</t>
  </si>
  <si>
    <t>Difference by Month</t>
  </si>
  <si>
    <t>Top 5 saved</t>
  </si>
  <si>
    <t>Top 5 overspent</t>
  </si>
  <si>
    <t>Projected vs. Actual in:</t>
  </si>
  <si>
    <t>abs</t>
  </si>
  <si>
    <t>Cash b/f</t>
  </si>
  <si>
    <t>Total Inflow + b/f</t>
  </si>
  <si>
    <t>My Monthly Cash Snapshot</t>
  </si>
  <si>
    <t>Rent</t>
  </si>
  <si>
    <t>Phone/WiFi</t>
  </si>
  <si>
    <t>Electricity</t>
  </si>
  <si>
    <t>Water</t>
  </si>
  <si>
    <t>Maint/Repairs</t>
  </si>
  <si>
    <t>Supplies</t>
  </si>
  <si>
    <t>Fares</t>
  </si>
  <si>
    <t>Petrol</t>
  </si>
  <si>
    <t>Insurance</t>
  </si>
  <si>
    <t>Auto Repairs</t>
  </si>
  <si>
    <t>Groceries</t>
  </si>
  <si>
    <t>Dine-out</t>
  </si>
  <si>
    <t>Hire Purchase</t>
  </si>
  <si>
    <t>Credit Card</t>
  </si>
  <si>
    <t>FEB</t>
  </si>
  <si>
    <t>MAR</t>
  </si>
  <si>
    <t>APR</t>
  </si>
  <si>
    <t>Expenses</t>
  </si>
  <si>
    <t>*Instructions:</t>
  </si>
  <si>
    <t>Fill in the actual spendings in the yellow cells (numbers only)</t>
  </si>
  <si>
    <t>Default projected figures are preset but ammendable should you wish to do so.</t>
  </si>
  <si>
    <t>Total Expenses</t>
  </si>
  <si>
    <t>sheet protection pw: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</si>
</sst>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6"/>
      <color theme="1"/>
      <name val="Aharoni"/>
      <charset val="177"/>
    </font>
    <font>
      <b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u/>
      <sz val="12"/>
      <color rgb="FF7030A0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1F1F3"/>
        <bgColor indexed="64"/>
      </patternFill>
    </fill>
    <fill>
      <patternFill patternType="solid">
        <fgColor rgb="FFCCFF66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Border="1"/>
    <xf numFmtId="0" fontId="0" fillId="3" borderId="0" xfId="0" applyFill="1"/>
    <xf numFmtId="0" fontId="0" fillId="0" borderId="0" xfId="0" applyFill="1" applyBorder="1"/>
    <xf numFmtId="0" fontId="0" fillId="5" borderId="0" xfId="0" applyFill="1"/>
    <xf numFmtId="0" fontId="0" fillId="5" borderId="0" xfId="0" applyFill="1" applyBorder="1" applyAlignment="1">
      <alignment horizontal="right"/>
    </xf>
    <xf numFmtId="0" fontId="0" fillId="0" borderId="0" xfId="0" applyFill="1"/>
    <xf numFmtId="0" fontId="0" fillId="5" borderId="0" xfId="0" applyFill="1" applyBorder="1"/>
    <xf numFmtId="0" fontId="4" fillId="0" borderId="0" xfId="0" applyFont="1" applyFill="1" applyBorder="1"/>
    <xf numFmtId="0" fontId="0" fillId="6" borderId="0" xfId="0" applyFill="1"/>
    <xf numFmtId="0" fontId="0" fillId="6" borderId="0" xfId="0" applyFill="1" applyBorder="1"/>
    <xf numFmtId="0" fontId="0" fillId="3" borderId="0" xfId="0" applyFill="1" applyBorder="1" applyAlignment="1">
      <alignment horizontal="right"/>
    </xf>
    <xf numFmtId="0" fontId="0" fillId="3" borderId="0" xfId="0" applyFill="1" applyBorder="1"/>
    <xf numFmtId="0" fontId="0" fillId="7" borderId="0" xfId="0" applyFill="1" applyBorder="1"/>
    <xf numFmtId="164" fontId="0" fillId="0" borderId="0" xfId="1" applyFont="1" applyBorder="1"/>
    <xf numFmtId="0" fontId="0" fillId="5" borderId="0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164" fontId="0" fillId="7" borderId="0" xfId="1" applyFont="1" applyFill="1" applyBorder="1"/>
    <xf numFmtId="164" fontId="0" fillId="5" borderId="1" xfId="1" applyFont="1" applyFill="1" applyBorder="1"/>
    <xf numFmtId="164" fontId="0" fillId="5" borderId="0" xfId="1" applyFont="1" applyFill="1" applyBorder="1"/>
    <xf numFmtId="164" fontId="0" fillId="3" borderId="1" xfId="1" applyFont="1" applyFill="1" applyBorder="1"/>
    <xf numFmtId="164" fontId="0" fillId="3" borderId="0" xfId="1" applyFont="1" applyFill="1" applyBorder="1"/>
    <xf numFmtId="164" fontId="0" fillId="6" borderId="1" xfId="1" applyFont="1" applyFill="1" applyBorder="1"/>
    <xf numFmtId="164" fontId="0" fillId="6" borderId="0" xfId="1" applyFont="1" applyFill="1" applyBorder="1"/>
    <xf numFmtId="164" fontId="0" fillId="0" borderId="0" xfId="1" applyFont="1" applyBorder="1" applyAlignment="1">
      <alignment horizontal="center"/>
    </xf>
    <xf numFmtId="0" fontId="13" fillId="0" borderId="0" xfId="0" applyFont="1" applyFill="1" applyAlignment="1">
      <alignment vertical="center"/>
    </xf>
    <xf numFmtId="164" fontId="4" fillId="0" borderId="0" xfId="1" applyFont="1" applyProtection="1"/>
    <xf numFmtId="0" fontId="0" fillId="0" borderId="0" xfId="0" applyProtection="1"/>
    <xf numFmtId="164" fontId="10" fillId="0" borderId="0" xfId="1" applyFont="1" applyProtection="1"/>
    <xf numFmtId="164" fontId="11" fillId="0" borderId="0" xfId="1" applyFont="1" applyProtection="1"/>
    <xf numFmtId="164" fontId="10" fillId="0" borderId="3" xfId="1" applyFont="1" applyBorder="1" applyProtection="1"/>
    <xf numFmtId="164" fontId="11" fillId="0" borderId="3" xfId="1" applyFont="1" applyBorder="1" applyProtection="1"/>
    <xf numFmtId="164" fontId="11" fillId="0" borderId="1" xfId="1" applyFont="1" applyBorder="1" applyProtection="1"/>
    <xf numFmtId="0" fontId="0" fillId="0" borderId="0" xfId="0" applyAlignment="1" applyProtection="1">
      <alignment horizontal="right"/>
    </xf>
    <xf numFmtId="164" fontId="10" fillId="0" borderId="2" xfId="1" applyFont="1" applyBorder="1" applyProtection="1"/>
    <xf numFmtId="0" fontId="0" fillId="0" borderId="0" xfId="0" applyBorder="1" applyProtection="1"/>
    <xf numFmtId="164" fontId="4" fillId="0" borderId="1" xfId="1" applyFont="1" applyBorder="1" applyProtection="1"/>
    <xf numFmtId="0" fontId="3" fillId="0" borderId="0" xfId="0" applyFont="1" applyProtection="1"/>
    <xf numFmtId="164" fontId="12" fillId="0" borderId="1" xfId="1" applyFont="1" applyBorder="1" applyProtection="1"/>
    <xf numFmtId="164" fontId="10" fillId="0" borderId="0" xfId="1" applyFont="1" applyBorder="1" applyProtection="1"/>
    <xf numFmtId="164" fontId="4" fillId="0" borderId="0" xfId="1" applyFont="1" applyBorder="1" applyProtection="1"/>
    <xf numFmtId="164" fontId="11" fillId="0" borderId="0" xfId="1" applyFont="1" applyBorder="1" applyProtection="1"/>
    <xf numFmtId="0" fontId="0" fillId="3" borderId="0" xfId="0" applyFill="1" applyProtection="1"/>
    <xf numFmtId="164" fontId="8" fillId="0" borderId="0" xfId="1" applyFont="1" applyAlignment="1" applyProtection="1">
      <alignment horizontal="center"/>
    </xf>
    <xf numFmtId="164" fontId="7" fillId="0" borderId="0" xfId="1" applyFont="1" applyAlignment="1" applyProtection="1">
      <alignment horizontal="center"/>
    </xf>
    <xf numFmtId="164" fontId="9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164" fontId="7" fillId="2" borderId="0" xfId="1" applyFont="1" applyFill="1" applyAlignment="1" applyProtection="1">
      <alignment horizontal="center"/>
    </xf>
    <xf numFmtId="164" fontId="4" fillId="7" borderId="1" xfId="1" applyFont="1" applyFill="1" applyBorder="1" applyProtection="1">
      <protection locked="0"/>
    </xf>
    <xf numFmtId="164" fontId="4" fillId="7" borderId="2" xfId="1" applyFont="1" applyFill="1" applyBorder="1" applyProtection="1">
      <protection locked="0"/>
    </xf>
    <xf numFmtId="164" fontId="10" fillId="9" borderId="1" xfId="1" applyFont="1" applyFill="1" applyBorder="1" applyProtection="1">
      <protection locked="0"/>
    </xf>
    <xf numFmtId="164" fontId="10" fillId="9" borderId="2" xfId="1" applyFont="1" applyFill="1" applyBorder="1" applyProtection="1">
      <protection locked="0"/>
    </xf>
    <xf numFmtId="164" fontId="4" fillId="0" borderId="2" xfId="1" applyFont="1" applyBorder="1" applyProtection="1"/>
    <xf numFmtId="0" fontId="0" fillId="0" borderId="0" xfId="0" applyFont="1" applyProtection="1"/>
    <xf numFmtId="164" fontId="4" fillId="0" borderId="3" xfId="1" applyFont="1" applyBorder="1" applyProtection="1"/>
    <xf numFmtId="0" fontId="4" fillId="0" borderId="0" xfId="0" applyFont="1" applyBorder="1" applyAlignment="1" applyProtection="1">
      <alignment horizontal="right"/>
    </xf>
    <xf numFmtId="0" fontId="4" fillId="0" borderId="0" xfId="0" applyFont="1" applyAlignment="1" applyProtection="1">
      <alignment horizontal="right"/>
    </xf>
    <xf numFmtId="0" fontId="15" fillId="0" borderId="0" xfId="0" applyFont="1" applyProtection="1"/>
    <xf numFmtId="164" fontId="0" fillId="10" borderId="0" xfId="1" applyFont="1" applyFill="1" applyBorder="1" applyAlignment="1">
      <alignment horizontal="center"/>
    </xf>
    <xf numFmtId="164" fontId="0" fillId="10" borderId="0" xfId="1" applyFont="1" applyFill="1" applyBorder="1"/>
    <xf numFmtId="164" fontId="4" fillId="0" borderId="0" xfId="1" applyFont="1" applyBorder="1" applyAlignment="1">
      <alignment horizontal="center"/>
    </xf>
    <xf numFmtId="0" fontId="0" fillId="5" borderId="0" xfId="0" applyFill="1" applyProtection="1"/>
    <xf numFmtId="0" fontId="0" fillId="6" borderId="0" xfId="0" applyFill="1" applyProtection="1"/>
    <xf numFmtId="164" fontId="4" fillId="10" borderId="0" xfId="1" applyFont="1" applyFill="1" applyBorder="1" applyAlignment="1">
      <alignment horizontal="center"/>
    </xf>
    <xf numFmtId="0" fontId="0" fillId="0" borderId="0" xfId="0" applyFill="1" applyProtection="1"/>
    <xf numFmtId="0" fontId="4" fillId="4" borderId="0" xfId="0" applyFont="1" applyFill="1" applyProtection="1"/>
    <xf numFmtId="0" fontId="14" fillId="8" borderId="0" xfId="0" applyFont="1" applyFill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/>
    </xf>
    <xf numFmtId="164" fontId="4" fillId="5" borderId="0" xfId="1" applyFont="1" applyFill="1" applyAlignment="1" applyProtection="1">
      <alignment horizontal="center" wrapText="1"/>
      <protection locked="0"/>
    </xf>
    <xf numFmtId="0" fontId="6" fillId="12" borderId="0" xfId="0" applyFont="1" applyFill="1" applyProtection="1"/>
    <xf numFmtId="0" fontId="6" fillId="12" borderId="0" xfId="0" applyFont="1" applyFill="1" applyAlignment="1" applyProtection="1">
      <alignment horizontal="left"/>
    </xf>
    <xf numFmtId="0" fontId="6" fillId="11" borderId="0" xfId="0" applyFont="1" applyFill="1" applyProtection="1"/>
    <xf numFmtId="0" fontId="5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</cellXfs>
  <cellStyles count="2">
    <cellStyle name="Comma" xfId="1" builtinId="3"/>
    <cellStyle name="Normal" xfId="0" builtinId="0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Medium7"/>
  <colors>
    <mruColors>
      <color rgb="FFCCFF66"/>
      <color rgb="FF9FF896"/>
      <color rgb="FFFFFFCC"/>
      <color rgb="FF66FF99"/>
      <color rgb="FF66CCFF"/>
      <color rgb="FFD1F1F3"/>
      <color rgb="FFCCCCFF"/>
      <color rgb="FFD2E0CE"/>
      <color rgb="FFE9E5ED"/>
      <color rgb="FFFFC1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Top 5 Cash Saved Items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EEE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'Charts Table'!$J$1:$J$6</c15:sqref>
                  </c15:fullRef>
                </c:ext>
              </c:extLst>
              <c:f>'Charts Table'!$J$2:$J$6</c:f>
              <c:strCache>
                <c:ptCount val="5"/>
                <c:pt idx="0">
                  <c:v> Auto Repairs </c:v>
                </c:pt>
                <c:pt idx="1">
                  <c:v>Maint/Repairs</c:v>
                </c:pt>
                <c:pt idx="2">
                  <c:v>First-aid/Meds</c:v>
                </c:pt>
                <c:pt idx="3">
                  <c:v>Sports/Activities</c:v>
                </c:pt>
                <c:pt idx="4">
                  <c:v>Clothing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'Charts Table'!$K$1:$K$6</c15:sqref>
                  </c15:fullRef>
                </c:ext>
              </c:extLst>
              <c:f>'Charts Table'!$K$2:$K$6</c:f>
              <c:numCache>
                <c:formatCode>_(* #,##0.00_);_(* \(#,##0.00\);_(* "-"??_);_(@_)</c:formatCode>
                <c:ptCount val="5"/>
                <c:pt idx="0">
                  <c:v>221.6</c:v>
                </c:pt>
                <c:pt idx="1">
                  <c:v>120</c:v>
                </c:pt>
                <c:pt idx="2">
                  <c:v>78.8</c:v>
                </c:pt>
                <c:pt idx="3">
                  <c:v>70</c:v>
                </c:pt>
                <c:pt idx="4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9F-497B-B694-BF24860E2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52930384"/>
        <c:axId val="652931216"/>
      </c:barChart>
      <c:catAx>
        <c:axId val="6529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931216"/>
        <c:crosses val="autoZero"/>
        <c:auto val="1"/>
        <c:lblAlgn val="ctr"/>
        <c:lblOffset val="100"/>
        <c:noMultiLvlLbl val="0"/>
      </c:catAx>
      <c:valAx>
        <c:axId val="65293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93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Total Expenditure</a:t>
            </a:r>
            <a:r>
              <a:rPr lang="en-MY" baseline="0"/>
              <a:t> per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266-4DAB-8A5C-C4599C9D37A2}"/>
              </c:ext>
            </c:extLst>
          </c:dPt>
          <c:dPt>
            <c:idx val="1"/>
            <c:invertIfNegative val="0"/>
            <c:bubble3D val="0"/>
            <c:spPr>
              <a:solidFill>
                <a:srgbClr val="FF111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266-4DAB-8A5C-C4599C9D37A2}"/>
              </c:ext>
            </c:extLst>
          </c:dPt>
          <c:dPt>
            <c:idx val="2"/>
            <c:invertIfNegative val="0"/>
            <c:bubble3D val="0"/>
            <c:spPr>
              <a:solidFill>
                <a:srgbClr val="7EEE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266-4DAB-8A5C-C4599C9D37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266-4DAB-8A5C-C4599C9D37A2}"/>
              </c:ext>
            </c:extLst>
          </c:dPt>
          <c:dPt>
            <c:idx val="4"/>
            <c:invertIfNegative val="0"/>
            <c:bubble3D val="0"/>
            <c:spPr>
              <a:solidFill>
                <a:srgbClr val="99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266-4DAB-8A5C-C4599C9D37A2}"/>
              </c:ext>
            </c:extLst>
          </c:dPt>
          <c:dPt>
            <c:idx val="5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266-4DAB-8A5C-C4599C9D37A2}"/>
              </c:ext>
            </c:extLst>
          </c:dPt>
          <c:dPt>
            <c:idx val="6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266-4DAB-8A5C-C4599C9D37A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266-4DAB-8A5C-C4599C9D37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('Charts Table'!$A$3,'Charts Table'!$A$33:$A$40)</c15:sqref>
                  </c15:fullRef>
                </c:ext>
              </c:extLst>
              <c:f>'Charts Table'!$A$33:$A$40</c:f>
              <c:strCache>
                <c:ptCount val="8"/>
                <c:pt idx="0">
                  <c:v>H-Ttl</c:v>
                </c:pt>
                <c:pt idx="1">
                  <c:v>T-Ttl</c:v>
                </c:pt>
                <c:pt idx="2">
                  <c:v>F-Ttl</c:v>
                </c:pt>
                <c:pt idx="3">
                  <c:v>E-Ttl</c:v>
                </c:pt>
                <c:pt idx="4">
                  <c:v>L-Ttl</c:v>
                </c:pt>
                <c:pt idx="5">
                  <c:v>PD-Ttl</c:v>
                </c:pt>
                <c:pt idx="6">
                  <c:v>MP-Ttl</c:v>
                </c:pt>
                <c:pt idx="7">
                  <c:v>SI-Ttl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('Charts Table'!$B$3,'Charts Table'!$B$33:$B$40)</c15:sqref>
                  </c15:fullRef>
                </c:ext>
              </c:extLst>
              <c:f>'Charts Table'!$B$33:$B$40</c:f>
              <c:numCache>
                <c:formatCode>_(* #,##0.00_);_(* \(#,##0.00\);_(* "-"??_);_(@_)</c:formatCode>
                <c:ptCount val="8"/>
                <c:pt idx="0">
                  <c:v>640.53</c:v>
                </c:pt>
                <c:pt idx="1">
                  <c:v>319.39999999999998</c:v>
                </c:pt>
                <c:pt idx="2">
                  <c:v>1429.6</c:v>
                </c:pt>
                <c:pt idx="3">
                  <c:v>40.9</c:v>
                </c:pt>
                <c:pt idx="4">
                  <c:v>106</c:v>
                </c:pt>
                <c:pt idx="5">
                  <c:v>78</c:v>
                </c:pt>
                <c:pt idx="6">
                  <c:v>582.6</c:v>
                </c:pt>
                <c:pt idx="7">
                  <c:v>370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'Charts Table'!$B$3</c15:sqref>
                  <c15:spPr xmlns:c15="http://schemas.microsoft.com/office/drawing/2012/chart">
                    <a:solidFill>
                      <a:srgbClr val="FFFFCC"/>
                    </a:solidFill>
                    <a:ln>
                      <a:noFill/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A266-4DAB-8A5C-C4599C9D3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52932048"/>
        <c:axId val="652916656"/>
      </c:barChart>
      <c:catAx>
        <c:axId val="65293204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916656"/>
        <c:crosses val="autoZero"/>
        <c:auto val="1"/>
        <c:lblAlgn val="ctr"/>
        <c:lblOffset val="100"/>
        <c:noMultiLvlLbl val="0"/>
      </c:catAx>
      <c:valAx>
        <c:axId val="652916656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93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Expenditure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300-43C7-863B-0250DA6C1B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300-43C7-863B-0250DA6C1B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300-43C7-863B-0250DA6C1BE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300-43C7-863B-0250DA6C1BE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300-43C7-863B-0250DA6C1BE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300-43C7-863B-0250DA6C1BE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300-43C7-863B-0250DA6C1BE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300-43C7-863B-0250DA6C1B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Table'!$A$33:$A$40</c:f>
              <c:strCache>
                <c:ptCount val="8"/>
                <c:pt idx="0">
                  <c:v>H-Ttl</c:v>
                </c:pt>
                <c:pt idx="1">
                  <c:v>T-Ttl</c:v>
                </c:pt>
                <c:pt idx="2">
                  <c:v>F-Ttl</c:v>
                </c:pt>
                <c:pt idx="3">
                  <c:v>E-Ttl</c:v>
                </c:pt>
                <c:pt idx="4">
                  <c:v>L-Ttl</c:v>
                </c:pt>
                <c:pt idx="5">
                  <c:v>PD-Ttl</c:v>
                </c:pt>
                <c:pt idx="6">
                  <c:v>MP-Ttl</c:v>
                </c:pt>
                <c:pt idx="7">
                  <c:v>SI-Ttl</c:v>
                </c:pt>
              </c:strCache>
            </c:strRef>
          </c:cat>
          <c:val>
            <c:numRef>
              <c:f>'Charts Table'!$B$33:$B$40</c:f>
              <c:numCache>
                <c:formatCode>_(* #,##0.00_);_(* \(#,##0.00\);_(* "-"??_);_(@_)</c:formatCode>
                <c:ptCount val="8"/>
                <c:pt idx="0">
                  <c:v>640.53</c:v>
                </c:pt>
                <c:pt idx="1">
                  <c:v>319.39999999999998</c:v>
                </c:pt>
                <c:pt idx="2">
                  <c:v>1429.6</c:v>
                </c:pt>
                <c:pt idx="3">
                  <c:v>40.9</c:v>
                </c:pt>
                <c:pt idx="4">
                  <c:v>106</c:v>
                </c:pt>
                <c:pt idx="5">
                  <c:v>78</c:v>
                </c:pt>
                <c:pt idx="6">
                  <c:v>582.6</c:v>
                </c:pt>
                <c:pt idx="7">
                  <c:v>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300-43C7-863B-0250DA6C1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Top 5 Cash Overspent Items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'Charts Table'!$J$9:$J$13</c:f>
              <c:strCache>
                <c:ptCount val="5"/>
                <c:pt idx="0">
                  <c:v>Groceries</c:v>
                </c:pt>
                <c:pt idx="1">
                  <c:v>Books</c:v>
                </c:pt>
                <c:pt idx="2">
                  <c:v>Electricity</c:v>
                </c:pt>
                <c:pt idx="3">
                  <c:v>Games</c:v>
                </c:pt>
                <c:pt idx="4">
                  <c:v>Rent</c:v>
                </c:pt>
              </c:strCache>
            </c:strRef>
          </c:cat>
          <c:val>
            <c:numRef>
              <c:f>'Charts Table'!$L$9:$L$13</c:f>
              <c:numCache>
                <c:formatCode>General</c:formatCode>
                <c:ptCount val="5"/>
                <c:pt idx="0">
                  <c:v>250</c:v>
                </c:pt>
                <c:pt idx="1">
                  <c:v>18</c:v>
                </c:pt>
                <c:pt idx="2">
                  <c:v>17.299999999999997</c:v>
                </c:pt>
                <c:pt idx="3">
                  <c:v>0.89999999999999858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6A-4676-8FA5-25699FED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51704016"/>
        <c:axId val="651705264"/>
      </c:barChart>
      <c:catAx>
        <c:axId val="65170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05264"/>
        <c:crosses val="autoZero"/>
        <c:auto val="1"/>
        <c:lblAlgn val="ctr"/>
        <c:lblOffset val="100"/>
        <c:noMultiLvlLbl val="0"/>
      </c:catAx>
      <c:valAx>
        <c:axId val="65170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0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Monthly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E36-4D3E-B402-25F1595702AA}"/>
              </c:ext>
            </c:extLst>
          </c:dPt>
          <c:dPt>
            <c:idx val="2"/>
            <c:invertIfNegative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36-4D3E-B402-25F1595702A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E36-4D3E-B402-25F1595702A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E36-4D3E-B402-25F1595702AA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36-4D3E-B402-25F1595702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'Charts Table'!$A$43:$A$45</c:f>
              <c:strCache>
                <c:ptCount val="3"/>
                <c:pt idx="0">
                  <c:v>Total Inflow + b/f</c:v>
                </c:pt>
                <c:pt idx="1">
                  <c:v>Cash Out-Flows</c:v>
                </c:pt>
                <c:pt idx="2">
                  <c:v>Surplus/Deficit</c:v>
                </c:pt>
              </c:strCache>
            </c:strRef>
          </c:cat>
          <c:val>
            <c:numRef>
              <c:f>'Charts Table'!$B$43:$B$45</c:f>
              <c:numCache>
                <c:formatCode>_(* #,##0.00_);_(* \(#,##0.00\);_(* "-"??_);_(@_)</c:formatCode>
                <c:ptCount val="3"/>
                <c:pt idx="0">
                  <c:v>3700</c:v>
                </c:pt>
                <c:pt idx="1">
                  <c:v>3567.0299999999997</c:v>
                </c:pt>
                <c:pt idx="2">
                  <c:v>132.97000000000025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36-4D3E-B402-25F159570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51696528"/>
        <c:axId val="651705680"/>
      </c:barChart>
      <c:catAx>
        <c:axId val="65169652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05680"/>
        <c:crosses val="autoZero"/>
        <c:auto val="1"/>
        <c:lblAlgn val="ctr"/>
        <c:lblOffset val="100"/>
        <c:noMultiLvlLbl val="0"/>
      </c:catAx>
      <c:valAx>
        <c:axId val="651705680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9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321733</xdr:colOff>
      <xdr:row>20</xdr:row>
      <xdr:rowOff>11546</xdr:rowOff>
    </xdr:from>
    <xdr:to>
      <xdr:col>7</xdr:col>
      <xdr:colOff>829732</xdr:colOff>
      <xdr:row>37</xdr:row>
      <xdr:rowOff>16932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C3B79-B411-4230-82A9-0E37734784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84665</xdr:colOff>
      <xdr:row>3</xdr:row>
      <xdr:rowOff>8465</xdr:rowOff>
    </xdr:from>
    <xdr:to>
      <xdr:col>10</xdr:col>
      <xdr:colOff>799714</xdr:colOff>
      <xdr:row>19</xdr:row>
      <xdr:rowOff>15393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451491A-7FFC-481B-926D-5DFB273A37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16933</xdr:colOff>
      <xdr:row>2</xdr:row>
      <xdr:rowOff>33866</xdr:rowOff>
    </xdr:from>
    <xdr:to>
      <xdr:col>16</xdr:col>
      <xdr:colOff>643467</xdr:colOff>
      <xdr:row>19</xdr:row>
      <xdr:rowOff>16932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29E99BC-0862-4598-A92C-852651D737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8466</xdr:colOff>
      <xdr:row>19</xdr:row>
      <xdr:rowOff>184725</xdr:rowOff>
    </xdr:from>
    <xdr:to>
      <xdr:col>15</xdr:col>
      <xdr:colOff>347132</xdr:colOff>
      <xdr:row>36</xdr:row>
      <xdr:rowOff>177799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6741BEE-7896-4CE0-A937-6732A0AE6E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106334</xdr:colOff>
      <xdr:row>2</xdr:row>
      <xdr:rowOff>78509</xdr:rowOff>
    </xdr:from>
    <xdr:to>
      <xdr:col>6</xdr:col>
      <xdr:colOff>67733</xdr:colOff>
      <xdr:row>19</xdr:row>
      <xdr:rowOff>25399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B2043AE-5D10-44A2-9875-13616560C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5"/>
  <sheetViews>
    <sheetView zoomScaleNormal="100" zoomScalePageLayoutView="150" workbookViewId="0">
      <selection activeCell="H8" sqref="H8"/>
    </sheetView>
  </sheetViews>
  <sheetFormatPr defaultColWidth="11" defaultRowHeight="15.6" x14ac:dyDescent="0.3"/>
  <cols>
    <col min="1" max="1" width="12.8984375" style="28" bestFit="1" customWidth="1"/>
    <col min="2" max="2" width="12.8984375" style="27" customWidth="1"/>
    <col min="3" max="4" width="11.8984375" style="27" bestFit="1" customWidth="1"/>
    <col min="5" max="5" width="1.8984375" style="28" customWidth="1"/>
    <col min="6" max="6" width="18.09765625" style="28" customWidth="1"/>
    <col min="7" max="9" width="11.8984375" style="27" bestFit="1" customWidth="1"/>
    <col min="10" max="10" width="2.19921875" style="28" customWidth="1"/>
    <col min="11" max="11" width="17" style="28" customWidth="1"/>
    <col min="12" max="12" width="8" style="28" customWidth="1"/>
    <col min="13" max="13" width="11" style="27"/>
    <col min="14" max="16384" width="11" style="28"/>
  </cols>
  <sheetData>
    <row r="1" spans="1:13" x14ac:dyDescent="0.3">
      <c r="A1" s="28" t="s">
        <v>42</v>
      </c>
      <c r="C1" s="69" t="s">
        <v>43</v>
      </c>
      <c r="D1" s="69"/>
      <c r="L1" s="28" t="s">
        <v>4</v>
      </c>
      <c r="M1" s="48" t="s">
        <v>5</v>
      </c>
    </row>
    <row r="3" spans="1:13" ht="18" x14ac:dyDescent="0.35">
      <c r="B3" s="44" t="s">
        <v>0</v>
      </c>
      <c r="C3" s="45" t="s">
        <v>1</v>
      </c>
      <c r="D3" s="46" t="s">
        <v>2</v>
      </c>
      <c r="E3" s="47"/>
      <c r="F3" s="47"/>
      <c r="G3" s="44" t="s">
        <v>0</v>
      </c>
      <c r="H3" s="45" t="s">
        <v>1</v>
      </c>
      <c r="I3" s="46" t="s">
        <v>2</v>
      </c>
      <c r="K3" s="72" t="s">
        <v>35</v>
      </c>
      <c r="L3" s="72"/>
      <c r="M3" s="72"/>
    </row>
    <row r="4" spans="1:13" x14ac:dyDescent="0.3">
      <c r="A4" s="43" t="s">
        <v>60</v>
      </c>
      <c r="B4" s="51">
        <v>4000</v>
      </c>
      <c r="C4" s="49">
        <v>3700</v>
      </c>
      <c r="D4" s="33">
        <f>B4-C4</f>
        <v>300</v>
      </c>
      <c r="E4" s="36"/>
      <c r="G4" s="29"/>
      <c r="I4" s="30"/>
    </row>
    <row r="5" spans="1:13" x14ac:dyDescent="0.3">
      <c r="B5" s="40"/>
      <c r="C5" s="41"/>
      <c r="D5" s="42"/>
      <c r="E5" s="36"/>
      <c r="G5" s="29"/>
      <c r="I5" s="30"/>
      <c r="K5" s="28" t="s">
        <v>38</v>
      </c>
      <c r="M5" s="37">
        <v>0</v>
      </c>
    </row>
    <row r="6" spans="1:13" ht="18" x14ac:dyDescent="0.35">
      <c r="A6" s="70" t="s">
        <v>6</v>
      </c>
      <c r="B6" s="70"/>
      <c r="C6" s="70"/>
      <c r="D6" s="70"/>
      <c r="F6" s="70" t="s">
        <v>12</v>
      </c>
      <c r="G6" s="70"/>
      <c r="H6" s="70"/>
      <c r="I6" s="70"/>
    </row>
    <row r="7" spans="1:13" x14ac:dyDescent="0.3">
      <c r="A7" s="28" t="s">
        <v>73</v>
      </c>
      <c r="B7" s="51">
        <v>350</v>
      </c>
      <c r="C7" s="49">
        <v>350</v>
      </c>
      <c r="D7" s="33">
        <f>B7-C7</f>
        <v>0</v>
      </c>
      <c r="E7" s="36"/>
      <c r="F7" s="28" t="s">
        <v>51</v>
      </c>
      <c r="G7" s="51">
        <v>20</v>
      </c>
      <c r="H7" s="49">
        <v>5</v>
      </c>
      <c r="I7" s="33">
        <f>G7-H7</f>
        <v>15</v>
      </c>
      <c r="K7" s="28" t="s">
        <v>36</v>
      </c>
    </row>
    <row r="8" spans="1:13" x14ac:dyDescent="0.3">
      <c r="A8" s="28" t="s">
        <v>74</v>
      </c>
      <c r="B8" s="51">
        <v>130</v>
      </c>
      <c r="C8" s="49">
        <v>125.9</v>
      </c>
      <c r="D8" s="33">
        <f t="shared" ref="D8:D12" si="0">B8-C8</f>
        <v>4.0999999999999943</v>
      </c>
      <c r="E8" s="36"/>
      <c r="F8" s="28" t="s">
        <v>50</v>
      </c>
      <c r="G8" s="51">
        <v>35</v>
      </c>
      <c r="H8" s="49">
        <v>35.9</v>
      </c>
      <c r="I8" s="33">
        <f t="shared" ref="I8:I10" si="1">G8-H8</f>
        <v>-0.89999999999999858</v>
      </c>
      <c r="K8" s="34" t="s">
        <v>37</v>
      </c>
      <c r="M8" s="37">
        <f>C4</f>
        <v>3700</v>
      </c>
    </row>
    <row r="9" spans="1:13" x14ac:dyDescent="0.3">
      <c r="A9" s="28" t="s">
        <v>52</v>
      </c>
      <c r="B9" s="51">
        <v>50</v>
      </c>
      <c r="C9" s="49">
        <v>49.88</v>
      </c>
      <c r="D9" s="33">
        <f t="shared" si="0"/>
        <v>0.11999999999999744</v>
      </c>
      <c r="E9" s="36"/>
      <c r="F9" s="28" t="s">
        <v>61</v>
      </c>
      <c r="G9" s="51">
        <v>70</v>
      </c>
      <c r="H9" s="49">
        <v>0</v>
      </c>
      <c r="I9" s="33">
        <f t="shared" si="1"/>
        <v>70</v>
      </c>
    </row>
    <row r="10" spans="1:13" ht="16.2" thickBot="1" x14ac:dyDescent="0.35">
      <c r="A10" s="28" t="s">
        <v>75</v>
      </c>
      <c r="B10" s="51">
        <v>50</v>
      </c>
      <c r="C10" s="49">
        <v>67.3</v>
      </c>
      <c r="D10" s="33">
        <f t="shared" si="0"/>
        <v>-17.299999999999997</v>
      </c>
      <c r="E10" s="36"/>
      <c r="F10" s="57" t="s">
        <v>13</v>
      </c>
      <c r="G10" s="35">
        <f>SUM(G7:G9)</f>
        <v>125</v>
      </c>
      <c r="H10" s="53">
        <f>SUM(H7:H9)</f>
        <v>40.9</v>
      </c>
      <c r="I10" s="33">
        <f t="shared" si="1"/>
        <v>84.1</v>
      </c>
      <c r="K10" s="38" t="s">
        <v>46</v>
      </c>
    </row>
    <row r="11" spans="1:13" ht="16.2" thickTop="1" x14ac:dyDescent="0.3">
      <c r="A11" s="28" t="s">
        <v>76</v>
      </c>
      <c r="B11" s="51">
        <v>5</v>
      </c>
      <c r="C11" s="49">
        <v>4.95</v>
      </c>
      <c r="D11" s="33">
        <f t="shared" si="0"/>
        <v>4.9999999999999822E-2</v>
      </c>
      <c r="E11" s="36"/>
      <c r="G11" s="29"/>
      <c r="I11" s="30"/>
      <c r="K11" s="68" t="s">
        <v>90</v>
      </c>
      <c r="M11" s="39">
        <f>H35</f>
        <v>3567.0299999999997</v>
      </c>
    </row>
    <row r="12" spans="1:13" ht="18" x14ac:dyDescent="0.35">
      <c r="A12" s="28" t="s">
        <v>77</v>
      </c>
      <c r="B12" s="51">
        <v>150</v>
      </c>
      <c r="C12" s="49">
        <v>30</v>
      </c>
      <c r="D12" s="33">
        <f t="shared" si="0"/>
        <v>120</v>
      </c>
      <c r="E12" s="36"/>
      <c r="F12" s="70" t="s">
        <v>14</v>
      </c>
      <c r="G12" s="70"/>
      <c r="H12" s="70"/>
      <c r="I12" s="70"/>
    </row>
    <row r="13" spans="1:13" x14ac:dyDescent="0.3">
      <c r="A13" s="28" t="s">
        <v>78</v>
      </c>
      <c r="B13" s="51">
        <v>40</v>
      </c>
      <c r="C13" s="49">
        <v>12.5</v>
      </c>
      <c r="D13" s="33">
        <f>B13-C13</f>
        <v>27.5</v>
      </c>
      <c r="E13" s="36"/>
      <c r="F13" s="28" t="s">
        <v>85</v>
      </c>
      <c r="G13" s="51">
        <v>0</v>
      </c>
      <c r="H13" s="49">
        <v>0</v>
      </c>
      <c r="I13" s="33">
        <f>G13-H13</f>
        <v>0</v>
      </c>
      <c r="K13" s="28" t="s">
        <v>34</v>
      </c>
      <c r="M13" s="37">
        <f>M8-M11</f>
        <v>132.97000000000025</v>
      </c>
    </row>
    <row r="14" spans="1:13" ht="16.2" thickBot="1" x14ac:dyDescent="0.35">
      <c r="A14" s="56" t="s">
        <v>9</v>
      </c>
      <c r="B14" s="35">
        <f>SUM(B7:B13)</f>
        <v>775</v>
      </c>
      <c r="C14" s="53">
        <f>SUM(C7:C13)</f>
        <v>640.53</v>
      </c>
      <c r="D14" s="33">
        <f>B14-C14</f>
        <v>134.47000000000003</v>
      </c>
      <c r="E14" s="36"/>
      <c r="F14" s="28" t="s">
        <v>62</v>
      </c>
      <c r="G14" s="51">
        <v>0</v>
      </c>
      <c r="H14" s="49">
        <v>0</v>
      </c>
      <c r="I14" s="33">
        <f t="shared" ref="I14:I16" si="2">G14-H14</f>
        <v>0</v>
      </c>
    </row>
    <row r="15" spans="1:13" ht="16.2" thickTop="1" x14ac:dyDescent="0.3">
      <c r="B15" s="29"/>
      <c r="D15" s="30"/>
      <c r="F15" s="28" t="s">
        <v>86</v>
      </c>
      <c r="G15" s="51">
        <v>150</v>
      </c>
      <c r="H15" s="49">
        <v>106</v>
      </c>
      <c r="I15" s="33">
        <f t="shared" si="2"/>
        <v>44</v>
      </c>
      <c r="K15" s="54" t="s">
        <v>39</v>
      </c>
      <c r="M15" s="37">
        <f>M5+M13</f>
        <v>132.97000000000025</v>
      </c>
    </row>
    <row r="16" spans="1:13" ht="18.600000000000001" thickBot="1" x14ac:dyDescent="0.4">
      <c r="A16" s="70" t="s">
        <v>7</v>
      </c>
      <c r="B16" s="70"/>
      <c r="C16" s="70"/>
      <c r="D16" s="70"/>
      <c r="F16" s="57" t="s">
        <v>15</v>
      </c>
      <c r="G16" s="35">
        <f>SUM(G13:G15)</f>
        <v>150</v>
      </c>
      <c r="H16" s="53">
        <f>SUM(H13:H15)</f>
        <v>106</v>
      </c>
      <c r="I16" s="33">
        <f t="shared" si="2"/>
        <v>44</v>
      </c>
    </row>
    <row r="17" spans="1:12" ht="16.2" thickTop="1" x14ac:dyDescent="0.3">
      <c r="A17" s="28" t="s">
        <v>79</v>
      </c>
      <c r="B17" s="51">
        <v>50</v>
      </c>
      <c r="C17" s="49">
        <v>12</v>
      </c>
      <c r="D17" s="33">
        <f>B17-C17</f>
        <v>38</v>
      </c>
      <c r="E17" s="36"/>
      <c r="G17" s="29"/>
      <c r="I17" s="30"/>
    </row>
    <row r="18" spans="1:12" ht="18" x14ac:dyDescent="0.35">
      <c r="A18" s="28" t="s">
        <v>80</v>
      </c>
      <c r="B18" s="51">
        <v>200</v>
      </c>
      <c r="C18" s="49">
        <v>159</v>
      </c>
      <c r="D18" s="33">
        <f>B18-C18</f>
        <v>41</v>
      </c>
      <c r="E18" s="36"/>
      <c r="F18" s="70" t="s">
        <v>17</v>
      </c>
      <c r="G18" s="70"/>
      <c r="H18" s="70"/>
      <c r="I18" s="70"/>
      <c r="K18" s="58" t="s">
        <v>91</v>
      </c>
    </row>
    <row r="19" spans="1:12" x14ac:dyDescent="0.3">
      <c r="A19" s="28" t="s">
        <v>81</v>
      </c>
      <c r="B19" s="51">
        <v>70</v>
      </c>
      <c r="C19" s="49">
        <v>70</v>
      </c>
      <c r="D19" s="33">
        <f>B19-C19</f>
        <v>0</v>
      </c>
      <c r="E19" s="36"/>
      <c r="F19" s="28" t="s">
        <v>58</v>
      </c>
      <c r="G19" s="51">
        <v>60</v>
      </c>
      <c r="H19" s="49">
        <v>78</v>
      </c>
      <c r="I19" s="33">
        <f>G19-H19</f>
        <v>-18</v>
      </c>
      <c r="K19" s="58" t="s">
        <v>92</v>
      </c>
    </row>
    <row r="20" spans="1:12" x14ac:dyDescent="0.3">
      <c r="A20" s="28" t="s">
        <v>82</v>
      </c>
      <c r="B20" s="51">
        <v>300</v>
      </c>
      <c r="C20" s="49">
        <v>78.400000000000006</v>
      </c>
      <c r="D20" s="33">
        <f>B20-C20</f>
        <v>221.6</v>
      </c>
      <c r="E20" s="36"/>
      <c r="F20" s="28" t="s">
        <v>59</v>
      </c>
      <c r="G20" s="51">
        <v>0</v>
      </c>
      <c r="H20" s="49">
        <v>0</v>
      </c>
      <c r="I20" s="33">
        <f t="shared" ref="I20:I21" si="3">G20-H20</f>
        <v>0</v>
      </c>
      <c r="K20" s="58" t="s">
        <v>93</v>
      </c>
    </row>
    <row r="21" spans="1:12" ht="16.2" thickBot="1" x14ac:dyDescent="0.35">
      <c r="A21" s="56" t="s">
        <v>10</v>
      </c>
      <c r="B21" s="35">
        <f>SUM(B17:B20)</f>
        <v>620</v>
      </c>
      <c r="C21" s="53">
        <f>SUM(C17:C20)</f>
        <v>319.39999999999998</v>
      </c>
      <c r="D21" s="33">
        <f>B21-C21</f>
        <v>300.60000000000002</v>
      </c>
      <c r="E21" s="36"/>
      <c r="F21" s="57" t="s">
        <v>18</v>
      </c>
      <c r="G21" s="35">
        <f>SUM(G19:G20)</f>
        <v>60</v>
      </c>
      <c r="H21" s="53">
        <f>SUM(H19:H20)</f>
        <v>78</v>
      </c>
      <c r="I21" s="33">
        <f t="shared" si="3"/>
        <v>-18</v>
      </c>
    </row>
    <row r="22" spans="1:12" ht="16.2" thickTop="1" x14ac:dyDescent="0.3">
      <c r="B22" s="29"/>
      <c r="D22" s="30"/>
      <c r="K22" s="58" t="s">
        <v>95</v>
      </c>
    </row>
    <row r="23" spans="1:12" ht="18" x14ac:dyDescent="0.35">
      <c r="A23" s="71" t="s">
        <v>8</v>
      </c>
      <c r="B23" s="71"/>
      <c r="C23" s="71"/>
      <c r="D23" s="71"/>
      <c r="F23" s="70" t="s">
        <v>53</v>
      </c>
      <c r="G23" s="70"/>
      <c r="H23" s="70"/>
      <c r="I23" s="70"/>
    </row>
    <row r="24" spans="1:12" x14ac:dyDescent="0.3">
      <c r="A24" s="28" t="s">
        <v>83</v>
      </c>
      <c r="B24" s="51">
        <v>200</v>
      </c>
      <c r="C24" s="49">
        <v>450</v>
      </c>
      <c r="D24" s="33">
        <f>B24-C24</f>
        <v>-250</v>
      </c>
      <c r="E24" s="36"/>
      <c r="F24" s="28" t="s">
        <v>64</v>
      </c>
      <c r="G24" s="51">
        <v>400</v>
      </c>
      <c r="H24" s="49">
        <v>400</v>
      </c>
      <c r="I24" s="33">
        <f t="shared" ref="I24:I29" si="4">G24-H24</f>
        <v>0</v>
      </c>
      <c r="K24" s="65"/>
      <c r="L24" s="65"/>
    </row>
    <row r="25" spans="1:12" x14ac:dyDescent="0.3">
      <c r="A25" s="28" t="s">
        <v>84</v>
      </c>
      <c r="B25" s="51">
        <v>1000</v>
      </c>
      <c r="C25" s="49">
        <v>979.6</v>
      </c>
      <c r="D25" s="33">
        <f>B25-C25</f>
        <v>20.399999999999977</v>
      </c>
      <c r="E25" s="36"/>
      <c r="F25" s="28" t="s">
        <v>54</v>
      </c>
      <c r="G25" s="51">
        <v>100</v>
      </c>
      <c r="H25" s="49">
        <v>45</v>
      </c>
      <c r="I25" s="33">
        <f t="shared" si="4"/>
        <v>55</v>
      </c>
      <c r="K25" s="65"/>
      <c r="L25" s="65"/>
    </row>
    <row r="26" spans="1:12" ht="16.2" thickBot="1" x14ac:dyDescent="0.35">
      <c r="A26" s="56" t="s">
        <v>11</v>
      </c>
      <c r="B26" s="35">
        <f>SUM(B24:B25)</f>
        <v>1200</v>
      </c>
      <c r="C26" s="53">
        <f>SUM(C24:C25)</f>
        <v>1429.6</v>
      </c>
      <c r="D26" s="33">
        <f>B26-C26</f>
        <v>-229.59999999999991</v>
      </c>
      <c r="E26" s="36"/>
      <c r="F26" s="28" t="s">
        <v>55</v>
      </c>
      <c r="G26" s="51">
        <v>75</v>
      </c>
      <c r="H26" s="49">
        <v>70.900000000000006</v>
      </c>
      <c r="I26" s="33">
        <f t="shared" si="4"/>
        <v>4.0999999999999943</v>
      </c>
      <c r="K26" s="65"/>
      <c r="L26" s="65"/>
    </row>
    <row r="27" spans="1:12" ht="16.2" thickTop="1" x14ac:dyDescent="0.3">
      <c r="F27" s="28" t="s">
        <v>56</v>
      </c>
      <c r="G27" s="51">
        <v>100</v>
      </c>
      <c r="H27" s="49">
        <v>21.2</v>
      </c>
      <c r="I27" s="33">
        <f t="shared" si="4"/>
        <v>78.8</v>
      </c>
      <c r="K27" s="65"/>
      <c r="L27" s="65"/>
    </row>
    <row r="28" spans="1:12" x14ac:dyDescent="0.3">
      <c r="F28" s="28" t="s">
        <v>57</v>
      </c>
      <c r="G28" s="51">
        <v>65</v>
      </c>
      <c r="H28" s="49">
        <v>45.5</v>
      </c>
      <c r="I28" s="33">
        <f t="shared" si="4"/>
        <v>19.5</v>
      </c>
      <c r="K28" s="65"/>
      <c r="L28" s="65"/>
    </row>
    <row r="29" spans="1:12" ht="16.2" thickBot="1" x14ac:dyDescent="0.35">
      <c r="F29" s="57" t="s">
        <v>44</v>
      </c>
      <c r="G29" s="35">
        <f>SUM(G24:G28)</f>
        <v>740</v>
      </c>
      <c r="H29" s="53">
        <f>SUM(H24:H28)</f>
        <v>582.6</v>
      </c>
      <c r="I29" s="33">
        <f t="shared" si="4"/>
        <v>157.39999999999998</v>
      </c>
      <c r="K29" s="65"/>
      <c r="L29" s="65"/>
    </row>
    <row r="30" spans="1:12" ht="16.2" thickTop="1" x14ac:dyDescent="0.3"/>
    <row r="31" spans="1:12" ht="18" x14ac:dyDescent="0.35">
      <c r="F31" s="70" t="s">
        <v>16</v>
      </c>
      <c r="G31" s="70"/>
      <c r="H31" s="70"/>
      <c r="I31" s="70"/>
    </row>
    <row r="32" spans="1:12" ht="16.2" thickBot="1" x14ac:dyDescent="0.35">
      <c r="F32" s="57" t="s">
        <v>45</v>
      </c>
      <c r="G32" s="52">
        <f>0.1*$C$4</f>
        <v>370</v>
      </c>
      <c r="H32" s="50">
        <v>370</v>
      </c>
      <c r="I32" s="33">
        <f>G32-H32</f>
        <v>0</v>
      </c>
    </row>
    <row r="33" spans="6:9" ht="16.2" thickTop="1" x14ac:dyDescent="0.3">
      <c r="G33" s="29"/>
      <c r="I33" s="30"/>
    </row>
    <row r="34" spans="6:9" x14ac:dyDescent="0.3">
      <c r="G34" s="29"/>
      <c r="I34" s="30"/>
    </row>
    <row r="35" spans="6:9" ht="16.2" thickBot="1" x14ac:dyDescent="0.35">
      <c r="F35" s="66" t="s">
        <v>94</v>
      </c>
      <c r="G35" s="31">
        <f>SUM(B14,B21,B26,G16,G10,G21,G29,G32)</f>
        <v>4040</v>
      </c>
      <c r="H35" s="55">
        <f>SUM(C14,C21,C26,H16,H10,H21,H29,H32)</f>
        <v>3567.0299999999997</v>
      </c>
      <c r="I35" s="32">
        <f>G35-H35</f>
        <v>472.97000000000025</v>
      </c>
    </row>
  </sheetData>
  <sheetProtection algorithmName="SHA-512" hashValue="WSRr+hOUx52YQeieN8h2ipRUFfwh88blrfZ0ZaKZ3hoRN5uMbOgR2QfLo+oQ/SoPDVTvymCTZrBr/B8Nj796xg==" saltValue="ujzPNMkueOx0fSarx3cc8w==" spinCount="100000" sheet="1" objects="1" scenarios="1" selectLockedCells="1"/>
  <dataConsolidate/>
  <mergeCells count="10">
    <mergeCell ref="F31:I31"/>
    <mergeCell ref="F6:I6"/>
    <mergeCell ref="F12:I12"/>
    <mergeCell ref="F18:I18"/>
    <mergeCell ref="K3:M3"/>
    <mergeCell ref="C1:D1"/>
    <mergeCell ref="A6:D6"/>
    <mergeCell ref="A16:D16"/>
    <mergeCell ref="A23:D23"/>
    <mergeCell ref="F23:I23"/>
  </mergeCells>
  <conditionalFormatting sqref="D1:D5 I1:I5 D7:D15 D17:D22 D24:D1048576 I24:I30 I32:I1048576 I7:I11 I13:I17 I19:I22">
    <cfRule type="cellIs" dxfId="10" priority="2" operator="lessThan">
      <formula>0</formula>
    </cfRule>
  </conditionalFormatting>
  <conditionalFormatting sqref="M1:M2 M4:M1048576">
    <cfRule type="cellIs" dxfId="9" priority="1" operator="lessThan">
      <formula>0</formula>
    </cfRule>
  </conditionalFormatting>
  <dataValidations count="2">
    <dataValidation type="decimal" operator="greaterThanOrEqual" allowBlank="1" showInputMessage="1" showErrorMessage="1" errorTitle="Invalid Input" error="Please enter a nonnegative _x000a_numeric only." sqref="B4 C4 B7 C7 B8:C13 B17:C20 B25:C25 C24 B24 G7:H9 G13:H15 G32:H32 G24:H28 G19:G20 H19" xr:uid="{42E38382-3A84-4017-84D0-516BEB203D8F}">
      <formula1>0</formula1>
    </dataValidation>
    <dataValidation type="decimal" operator="greaterThanOrEqual" allowBlank="1" showInputMessage="1" showErrorMessage="1" errorTitle="Invalid Input" error="Please enter a nonnegative numeric only." sqref="H20" xr:uid="{147BECC7-A340-4AD8-97E4-91ACAAAC67E7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CBCAA-BD28-412E-8A52-E2495BD2F1C8}">
  <sheetPr codeName="Sheet7"/>
  <dimension ref="A1:M35"/>
  <sheetViews>
    <sheetView tabSelected="1" zoomScaleNormal="100" zoomScalePageLayoutView="150" workbookViewId="0">
      <selection activeCell="G24" sqref="G24"/>
    </sheetView>
  </sheetViews>
  <sheetFormatPr defaultColWidth="11" defaultRowHeight="15.6" x14ac:dyDescent="0.3"/>
  <cols>
    <col min="1" max="1" width="12.8984375" style="28" bestFit="1" customWidth="1"/>
    <col min="2" max="2" width="12.8984375" style="27" customWidth="1"/>
    <col min="3" max="4" width="11.8984375" style="27" bestFit="1" customWidth="1"/>
    <col min="5" max="5" width="1.8984375" style="28" customWidth="1"/>
    <col min="6" max="6" width="18.09765625" style="28" customWidth="1"/>
    <col min="7" max="9" width="11.8984375" style="27" bestFit="1" customWidth="1"/>
    <col min="10" max="10" width="2.19921875" style="28" customWidth="1"/>
    <col min="11" max="11" width="17" style="28" customWidth="1"/>
    <col min="12" max="12" width="8" style="28" customWidth="1"/>
    <col min="13" max="13" width="11" style="27"/>
    <col min="14" max="16384" width="11" style="28"/>
  </cols>
  <sheetData>
    <row r="1" spans="1:13" x14ac:dyDescent="0.3">
      <c r="A1" s="28" t="s">
        <v>42</v>
      </c>
      <c r="C1" s="69" t="s">
        <v>43</v>
      </c>
      <c r="D1" s="69"/>
      <c r="L1" s="28" t="s">
        <v>4</v>
      </c>
      <c r="M1" s="48" t="s">
        <v>87</v>
      </c>
    </row>
    <row r="3" spans="1:13" ht="18" x14ac:dyDescent="0.35">
      <c r="B3" s="44" t="s">
        <v>0</v>
      </c>
      <c r="C3" s="45" t="s">
        <v>1</v>
      </c>
      <c r="D3" s="46" t="s">
        <v>2</v>
      </c>
      <c r="E3" s="47"/>
      <c r="F3" s="47"/>
      <c r="G3" s="44" t="s">
        <v>0</v>
      </c>
      <c r="H3" s="45" t="s">
        <v>1</v>
      </c>
      <c r="I3" s="46" t="s">
        <v>2</v>
      </c>
      <c r="K3" s="72" t="s">
        <v>35</v>
      </c>
      <c r="L3" s="72"/>
      <c r="M3" s="72"/>
    </row>
    <row r="4" spans="1:13" x14ac:dyDescent="0.3">
      <c r="A4" s="43" t="s">
        <v>60</v>
      </c>
      <c r="B4" s="51">
        <v>4000</v>
      </c>
      <c r="C4" s="49">
        <v>3850</v>
      </c>
      <c r="D4" s="33">
        <f>B4-C4</f>
        <v>150</v>
      </c>
      <c r="E4" s="36"/>
      <c r="G4" s="29"/>
      <c r="I4" s="30"/>
    </row>
    <row r="5" spans="1:13" x14ac:dyDescent="0.3">
      <c r="B5" s="40"/>
      <c r="C5" s="41"/>
      <c r="D5" s="42"/>
      <c r="E5" s="36"/>
      <c r="G5" s="29"/>
      <c r="I5" s="30"/>
      <c r="K5" s="28" t="s">
        <v>38</v>
      </c>
      <c r="M5" s="37">
        <f>Jan!M15</f>
        <v>132.97000000000025</v>
      </c>
    </row>
    <row r="6" spans="1:13" ht="18" x14ac:dyDescent="0.35">
      <c r="A6" s="70" t="s">
        <v>6</v>
      </c>
      <c r="B6" s="70"/>
      <c r="C6" s="70"/>
      <c r="D6" s="70"/>
      <c r="F6" s="70" t="s">
        <v>12</v>
      </c>
      <c r="G6" s="70"/>
      <c r="H6" s="70"/>
      <c r="I6" s="70"/>
    </row>
    <row r="7" spans="1:13" x14ac:dyDescent="0.3">
      <c r="A7" s="28" t="s">
        <v>73</v>
      </c>
      <c r="B7" s="51">
        <v>350</v>
      </c>
      <c r="C7" s="49">
        <v>350</v>
      </c>
      <c r="D7" s="33">
        <f>B7-C7</f>
        <v>0</v>
      </c>
      <c r="E7" s="36"/>
      <c r="F7" s="28" t="s">
        <v>51</v>
      </c>
      <c r="G7" s="51">
        <v>20</v>
      </c>
      <c r="H7" s="49">
        <v>15</v>
      </c>
      <c r="I7" s="33">
        <f>G7-H7</f>
        <v>5</v>
      </c>
      <c r="K7" s="28" t="s">
        <v>36</v>
      </c>
    </row>
    <row r="8" spans="1:13" x14ac:dyDescent="0.3">
      <c r="A8" s="28" t="s">
        <v>74</v>
      </c>
      <c r="B8" s="51">
        <v>130</v>
      </c>
      <c r="C8" s="49">
        <v>125.9</v>
      </c>
      <c r="D8" s="33">
        <f t="shared" ref="D8:D12" si="0">B8-C8</f>
        <v>4.0999999999999943</v>
      </c>
      <c r="E8" s="36"/>
      <c r="F8" s="28" t="s">
        <v>50</v>
      </c>
      <c r="G8" s="51">
        <v>35</v>
      </c>
      <c r="H8" s="49">
        <v>23.2</v>
      </c>
      <c r="I8" s="33">
        <f t="shared" ref="I8:I10" si="1">G8-H8</f>
        <v>11.8</v>
      </c>
      <c r="K8" s="34" t="s">
        <v>37</v>
      </c>
      <c r="M8" s="37">
        <f>C4</f>
        <v>3850</v>
      </c>
    </row>
    <row r="9" spans="1:13" x14ac:dyDescent="0.3">
      <c r="A9" s="28" t="s">
        <v>52</v>
      </c>
      <c r="B9" s="51">
        <v>50</v>
      </c>
      <c r="C9" s="49">
        <v>51.7</v>
      </c>
      <c r="D9" s="33">
        <f t="shared" si="0"/>
        <v>-1.7000000000000028</v>
      </c>
      <c r="E9" s="36"/>
      <c r="F9" s="28" t="s">
        <v>61</v>
      </c>
      <c r="G9" s="51">
        <v>70</v>
      </c>
      <c r="H9" s="49">
        <v>30</v>
      </c>
      <c r="I9" s="33">
        <f t="shared" si="1"/>
        <v>40</v>
      </c>
    </row>
    <row r="10" spans="1:13" ht="16.2" thickBot="1" x14ac:dyDescent="0.35">
      <c r="A10" s="28" t="s">
        <v>75</v>
      </c>
      <c r="B10" s="51">
        <v>50</v>
      </c>
      <c r="C10" s="49">
        <v>54.6</v>
      </c>
      <c r="D10" s="33">
        <f t="shared" si="0"/>
        <v>-4.6000000000000014</v>
      </c>
      <c r="E10" s="36"/>
      <c r="F10" s="57" t="s">
        <v>13</v>
      </c>
      <c r="G10" s="35">
        <f>SUM(G7:G9)</f>
        <v>125</v>
      </c>
      <c r="H10" s="53">
        <f>SUM(H7:H9)</f>
        <v>68.2</v>
      </c>
      <c r="I10" s="33">
        <f t="shared" si="1"/>
        <v>56.8</v>
      </c>
      <c r="K10" s="38" t="s">
        <v>46</v>
      </c>
    </row>
    <row r="11" spans="1:13" ht="16.2" thickTop="1" x14ac:dyDescent="0.3">
      <c r="A11" s="28" t="s">
        <v>76</v>
      </c>
      <c r="B11" s="51">
        <v>5</v>
      </c>
      <c r="C11" s="49">
        <v>5.0999999999999996</v>
      </c>
      <c r="D11" s="33">
        <f t="shared" si="0"/>
        <v>-9.9999999999999645E-2</v>
      </c>
      <c r="E11" s="36"/>
      <c r="G11" s="29"/>
      <c r="I11" s="30"/>
      <c r="K11" s="68" t="s">
        <v>90</v>
      </c>
      <c r="M11" s="39">
        <f>H35</f>
        <v>3627.45</v>
      </c>
    </row>
    <row r="12" spans="1:13" ht="18" x14ac:dyDescent="0.35">
      <c r="A12" s="28" t="s">
        <v>77</v>
      </c>
      <c r="B12" s="51">
        <v>150</v>
      </c>
      <c r="C12" s="49">
        <v>0</v>
      </c>
      <c r="D12" s="33">
        <f t="shared" si="0"/>
        <v>150</v>
      </c>
      <c r="E12" s="36"/>
      <c r="F12" s="70" t="s">
        <v>14</v>
      </c>
      <c r="G12" s="70"/>
      <c r="H12" s="70"/>
      <c r="I12" s="70"/>
    </row>
    <row r="13" spans="1:13" x14ac:dyDescent="0.3">
      <c r="A13" s="28" t="s">
        <v>78</v>
      </c>
      <c r="B13" s="51">
        <v>40</v>
      </c>
      <c r="C13" s="49">
        <v>2.5</v>
      </c>
      <c r="D13" s="33">
        <f>B13-C13</f>
        <v>37.5</v>
      </c>
      <c r="E13" s="36"/>
      <c r="F13" s="28" t="s">
        <v>85</v>
      </c>
      <c r="G13" s="51">
        <v>0</v>
      </c>
      <c r="H13" s="49">
        <v>0</v>
      </c>
      <c r="I13" s="33">
        <f>G13-H13</f>
        <v>0</v>
      </c>
      <c r="K13" s="28" t="s">
        <v>34</v>
      </c>
      <c r="M13" s="37">
        <f>M8-M11</f>
        <v>222.55000000000018</v>
      </c>
    </row>
    <row r="14" spans="1:13" ht="16.2" thickBot="1" x14ac:dyDescent="0.35">
      <c r="A14" s="56" t="s">
        <v>9</v>
      </c>
      <c r="B14" s="35">
        <f>SUM(B7:B13)</f>
        <v>775</v>
      </c>
      <c r="C14" s="53">
        <f>SUM(C7:C13)</f>
        <v>589.80000000000007</v>
      </c>
      <c r="D14" s="33">
        <f>B14-C14</f>
        <v>185.19999999999993</v>
      </c>
      <c r="E14" s="36"/>
      <c r="F14" s="28" t="s">
        <v>62</v>
      </c>
      <c r="G14" s="51">
        <v>0</v>
      </c>
      <c r="H14" s="49">
        <v>0</v>
      </c>
      <c r="I14" s="33">
        <f t="shared" ref="I14:I16" si="2">G14-H14</f>
        <v>0</v>
      </c>
    </row>
    <row r="15" spans="1:13" ht="16.2" thickTop="1" x14ac:dyDescent="0.3">
      <c r="B15" s="29"/>
      <c r="D15" s="30"/>
      <c r="F15" s="28" t="s">
        <v>86</v>
      </c>
      <c r="G15" s="51">
        <v>150</v>
      </c>
      <c r="H15" s="49">
        <v>57.8</v>
      </c>
      <c r="I15" s="33">
        <f t="shared" si="2"/>
        <v>92.2</v>
      </c>
      <c r="K15" s="54" t="s">
        <v>39</v>
      </c>
      <c r="M15" s="37">
        <f>M5+M13</f>
        <v>355.52000000000044</v>
      </c>
    </row>
    <row r="16" spans="1:13" ht="18.600000000000001" thickBot="1" x14ac:dyDescent="0.4">
      <c r="A16" s="70" t="s">
        <v>7</v>
      </c>
      <c r="B16" s="70"/>
      <c r="C16" s="70"/>
      <c r="D16" s="70"/>
      <c r="F16" s="57" t="s">
        <v>15</v>
      </c>
      <c r="G16" s="35">
        <f>SUM(G13:G15)</f>
        <v>150</v>
      </c>
      <c r="H16" s="53">
        <f>SUM(H13:H15)</f>
        <v>57.8</v>
      </c>
      <c r="I16" s="33">
        <f t="shared" si="2"/>
        <v>92.2</v>
      </c>
    </row>
    <row r="17" spans="1:12" ht="16.2" thickTop="1" x14ac:dyDescent="0.3">
      <c r="A17" s="28" t="s">
        <v>79</v>
      </c>
      <c r="B17" s="51">
        <v>50</v>
      </c>
      <c r="C17" s="49">
        <v>8.75</v>
      </c>
      <c r="D17" s="33">
        <f>B17-C17</f>
        <v>41.25</v>
      </c>
      <c r="E17" s="36"/>
      <c r="G17" s="29"/>
      <c r="I17" s="30"/>
    </row>
    <row r="18" spans="1:12" ht="18" x14ac:dyDescent="0.35">
      <c r="A18" s="28" t="s">
        <v>80</v>
      </c>
      <c r="B18" s="51">
        <v>200</v>
      </c>
      <c r="C18" s="49">
        <v>198.2</v>
      </c>
      <c r="D18" s="33">
        <f>B18-C18</f>
        <v>1.8000000000000114</v>
      </c>
      <c r="E18" s="36"/>
      <c r="F18" s="70" t="s">
        <v>17</v>
      </c>
      <c r="G18" s="70"/>
      <c r="H18" s="70"/>
      <c r="I18" s="70"/>
      <c r="K18" s="58" t="s">
        <v>91</v>
      </c>
    </row>
    <row r="19" spans="1:12" x14ac:dyDescent="0.3">
      <c r="A19" s="28" t="s">
        <v>81</v>
      </c>
      <c r="B19" s="51">
        <v>70</v>
      </c>
      <c r="C19" s="49">
        <v>70</v>
      </c>
      <c r="D19" s="33">
        <f>B19-C19</f>
        <v>0</v>
      </c>
      <c r="E19" s="36"/>
      <c r="F19" s="28" t="s">
        <v>58</v>
      </c>
      <c r="G19" s="51">
        <v>60</v>
      </c>
      <c r="H19" s="49">
        <v>0</v>
      </c>
      <c r="I19" s="33">
        <f>G19-H19</f>
        <v>60</v>
      </c>
      <c r="K19" s="58" t="s">
        <v>92</v>
      </c>
    </row>
    <row r="20" spans="1:12" x14ac:dyDescent="0.3">
      <c r="A20" s="28" t="s">
        <v>82</v>
      </c>
      <c r="B20" s="51">
        <v>300</v>
      </c>
      <c r="C20" s="49">
        <v>150</v>
      </c>
      <c r="D20" s="33">
        <f>B20-C20</f>
        <v>150</v>
      </c>
      <c r="E20" s="36"/>
      <c r="F20" s="28" t="s">
        <v>59</v>
      </c>
      <c r="G20" s="51">
        <v>0</v>
      </c>
      <c r="H20" s="49">
        <v>0</v>
      </c>
      <c r="I20" s="33">
        <f t="shared" ref="I20:I21" si="3">G20-H20</f>
        <v>0</v>
      </c>
      <c r="K20" s="58" t="s">
        <v>93</v>
      </c>
    </row>
    <row r="21" spans="1:12" ht="16.2" thickBot="1" x14ac:dyDescent="0.35">
      <c r="A21" s="56" t="s">
        <v>10</v>
      </c>
      <c r="B21" s="35">
        <f>SUM(B17:B20)</f>
        <v>620</v>
      </c>
      <c r="C21" s="53">
        <f>SUM(C17:C20)</f>
        <v>426.95</v>
      </c>
      <c r="D21" s="33">
        <f>B21-C21</f>
        <v>193.05</v>
      </c>
      <c r="E21" s="36"/>
      <c r="F21" s="57" t="s">
        <v>18</v>
      </c>
      <c r="G21" s="35">
        <f>SUM(G19:G20)</f>
        <v>60</v>
      </c>
      <c r="H21" s="53">
        <f>SUM(H19:H20)</f>
        <v>0</v>
      </c>
      <c r="I21" s="33">
        <f t="shared" si="3"/>
        <v>60</v>
      </c>
    </row>
    <row r="22" spans="1:12" ht="16.2" thickTop="1" x14ac:dyDescent="0.3">
      <c r="B22" s="29"/>
      <c r="D22" s="30"/>
      <c r="K22" s="58" t="s">
        <v>95</v>
      </c>
    </row>
    <row r="23" spans="1:12" ht="18" x14ac:dyDescent="0.35">
      <c r="A23" s="71" t="s">
        <v>8</v>
      </c>
      <c r="B23" s="71"/>
      <c r="C23" s="71"/>
      <c r="D23" s="71"/>
      <c r="F23" s="70" t="s">
        <v>53</v>
      </c>
      <c r="G23" s="70"/>
      <c r="H23" s="70"/>
      <c r="I23" s="70"/>
    </row>
    <row r="24" spans="1:12" x14ac:dyDescent="0.3">
      <c r="A24" s="28" t="s">
        <v>83</v>
      </c>
      <c r="B24" s="51">
        <v>200</v>
      </c>
      <c r="C24" s="49">
        <v>365.9</v>
      </c>
      <c r="D24" s="33">
        <f>B24-C24</f>
        <v>-165.89999999999998</v>
      </c>
      <c r="E24" s="36"/>
      <c r="F24" s="28" t="s">
        <v>64</v>
      </c>
      <c r="G24" s="51">
        <v>400</v>
      </c>
      <c r="H24" s="49">
        <v>400</v>
      </c>
      <c r="I24" s="33">
        <f t="shared" ref="I24:I29" si="4">G24-H24</f>
        <v>0</v>
      </c>
      <c r="K24" s="65"/>
      <c r="L24" s="65"/>
    </row>
    <row r="25" spans="1:12" x14ac:dyDescent="0.3">
      <c r="A25" s="28" t="s">
        <v>84</v>
      </c>
      <c r="B25" s="51">
        <v>1000</v>
      </c>
      <c r="C25" s="49">
        <v>1194</v>
      </c>
      <c r="D25" s="33">
        <f>B25-C25</f>
        <v>-194</v>
      </c>
      <c r="E25" s="36"/>
      <c r="F25" s="28" t="s">
        <v>54</v>
      </c>
      <c r="G25" s="51">
        <v>100</v>
      </c>
      <c r="H25" s="49">
        <v>20</v>
      </c>
      <c r="I25" s="33">
        <f t="shared" si="4"/>
        <v>80</v>
      </c>
      <c r="K25" s="65"/>
      <c r="L25" s="65"/>
    </row>
    <row r="26" spans="1:12" ht="16.2" thickBot="1" x14ac:dyDescent="0.35">
      <c r="A26" s="56" t="s">
        <v>11</v>
      </c>
      <c r="B26" s="35">
        <f>SUM(B24:B25)</f>
        <v>1200</v>
      </c>
      <c r="C26" s="53">
        <f>SUM(C24:C25)</f>
        <v>1559.9</v>
      </c>
      <c r="D26" s="33">
        <f>B26-C26</f>
        <v>-359.90000000000009</v>
      </c>
      <c r="E26" s="36"/>
      <c r="F26" s="28" t="s">
        <v>55</v>
      </c>
      <c r="G26" s="51">
        <v>75</v>
      </c>
      <c r="H26" s="49">
        <v>67.8</v>
      </c>
      <c r="I26" s="33">
        <f t="shared" si="4"/>
        <v>7.2000000000000028</v>
      </c>
      <c r="K26" s="65"/>
      <c r="L26" s="65"/>
    </row>
    <row r="27" spans="1:12" ht="16.2" thickTop="1" x14ac:dyDescent="0.3">
      <c r="F27" s="28" t="s">
        <v>56</v>
      </c>
      <c r="G27" s="51">
        <v>100</v>
      </c>
      <c r="H27" s="49">
        <v>0</v>
      </c>
      <c r="I27" s="33">
        <f t="shared" si="4"/>
        <v>100</v>
      </c>
      <c r="K27" s="65"/>
      <c r="L27" s="65"/>
    </row>
    <row r="28" spans="1:12" x14ac:dyDescent="0.3">
      <c r="F28" s="28" t="s">
        <v>57</v>
      </c>
      <c r="G28" s="51">
        <v>65</v>
      </c>
      <c r="H28" s="49">
        <v>67</v>
      </c>
      <c r="I28" s="33">
        <f t="shared" si="4"/>
        <v>-2</v>
      </c>
      <c r="K28" s="65"/>
      <c r="L28" s="65"/>
    </row>
    <row r="29" spans="1:12" ht="16.2" thickBot="1" x14ac:dyDescent="0.35">
      <c r="F29" s="57" t="s">
        <v>44</v>
      </c>
      <c r="G29" s="35">
        <f>SUM(G24:G28)</f>
        <v>740</v>
      </c>
      <c r="H29" s="53">
        <f>SUM(H24:H28)</f>
        <v>554.79999999999995</v>
      </c>
      <c r="I29" s="33">
        <f t="shared" si="4"/>
        <v>185.20000000000005</v>
      </c>
      <c r="K29" s="65"/>
      <c r="L29" s="65"/>
    </row>
    <row r="30" spans="1:12" ht="16.2" thickTop="1" x14ac:dyDescent="0.3"/>
    <row r="31" spans="1:12" ht="18" x14ac:dyDescent="0.35">
      <c r="F31" s="70" t="s">
        <v>16</v>
      </c>
      <c r="G31" s="70"/>
      <c r="H31" s="70"/>
      <c r="I31" s="70"/>
    </row>
    <row r="32" spans="1:12" ht="16.2" thickBot="1" x14ac:dyDescent="0.35">
      <c r="F32" s="57" t="s">
        <v>45</v>
      </c>
      <c r="G32" s="52">
        <f>0.1*$C$4</f>
        <v>385</v>
      </c>
      <c r="H32" s="50">
        <v>370</v>
      </c>
      <c r="I32" s="33">
        <f>G32-H32</f>
        <v>15</v>
      </c>
    </row>
    <row r="33" spans="6:9" ht="16.2" thickTop="1" x14ac:dyDescent="0.3">
      <c r="G33" s="29"/>
      <c r="I33" s="30"/>
    </row>
    <row r="34" spans="6:9" x14ac:dyDescent="0.3">
      <c r="G34" s="29"/>
      <c r="I34" s="30"/>
    </row>
    <row r="35" spans="6:9" ht="16.2" thickBot="1" x14ac:dyDescent="0.35">
      <c r="F35" s="66" t="s">
        <v>94</v>
      </c>
      <c r="G35" s="31">
        <f>SUM(B14,B21,B26,G16,G10,G21,G29,G32)</f>
        <v>4055</v>
      </c>
      <c r="H35" s="55">
        <f>SUM(C14,C21,C26,H16,H10,H21,H29,H32)</f>
        <v>3627.45</v>
      </c>
      <c r="I35" s="32">
        <f>G35-H35</f>
        <v>427.55000000000018</v>
      </c>
    </row>
  </sheetData>
  <sheetProtection algorithmName="SHA-512" hashValue="ZEuyqfMtLuplOtuaHxocQTcR7kRtUsSmJlqNWnNQXwEXuh/XpOEtALCYEaP4RRFqhF3tLBRDw0PHsZcoKchcsQ==" saltValue="qW9D8A6APNt0GNI3fglfNg==" spinCount="100000" sheet="1" objects="1" scenarios="1" selectLockedCells="1"/>
  <mergeCells count="10">
    <mergeCell ref="C1:D1"/>
    <mergeCell ref="K3:M3"/>
    <mergeCell ref="A6:D6"/>
    <mergeCell ref="F6:I6"/>
    <mergeCell ref="F12:I12"/>
    <mergeCell ref="A16:D16"/>
    <mergeCell ref="F18:I18"/>
    <mergeCell ref="A23:D23"/>
    <mergeCell ref="F23:I23"/>
    <mergeCell ref="F31:I31"/>
  </mergeCells>
  <conditionalFormatting sqref="M1:M2 M4:M1048576">
    <cfRule type="cellIs" dxfId="8" priority="1" operator="lessThan">
      <formula>0</formula>
    </cfRule>
  </conditionalFormatting>
  <conditionalFormatting sqref="D1:D5 I1:I5 D7:D15 D17:D22 D24:D1048576 I24:I30 I32:I1048576 I7:I11 I13:I17 I19:I22">
    <cfRule type="cellIs" dxfId="7" priority="2" operator="lessThan">
      <formula>0</formula>
    </cfRule>
  </conditionalFormatting>
  <dataValidations count="1">
    <dataValidation type="decimal" operator="greaterThanOrEqual" allowBlank="1" showInputMessage="1" showErrorMessage="1" errorTitle="Invalid Input" error="Please enter nonnegative numeric only." sqref="B4:C4 B7:C13 B17:C20 B24:C25 G32:H32 G13:H15 G19:H20 G24:H28 G7:H9" xr:uid="{FAEC97AD-FD1E-4A91-858F-3CB24F27080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F7A22-CA79-418C-82EC-75265AB2D558}">
  <sheetPr codeName="Sheet11"/>
  <dimension ref="A1:M35"/>
  <sheetViews>
    <sheetView zoomScaleNormal="100" zoomScalePageLayoutView="150" workbookViewId="0">
      <selection activeCell="G15" sqref="G15"/>
    </sheetView>
  </sheetViews>
  <sheetFormatPr defaultColWidth="11" defaultRowHeight="15.6" x14ac:dyDescent="0.3"/>
  <cols>
    <col min="1" max="1" width="12.8984375" style="28" bestFit="1" customWidth="1"/>
    <col min="2" max="2" width="12.8984375" style="27" customWidth="1"/>
    <col min="3" max="4" width="11.8984375" style="27" bestFit="1" customWidth="1"/>
    <col min="5" max="5" width="1.8984375" style="28" customWidth="1"/>
    <col min="6" max="6" width="18.09765625" style="28" customWidth="1"/>
    <col min="7" max="9" width="11.8984375" style="27" bestFit="1" customWidth="1"/>
    <col min="10" max="10" width="2.19921875" style="28" customWidth="1"/>
    <col min="11" max="11" width="17" style="28" customWidth="1"/>
    <col min="12" max="12" width="8" style="28" customWidth="1"/>
    <col min="13" max="13" width="11" style="27"/>
    <col min="14" max="16384" width="11" style="28"/>
  </cols>
  <sheetData>
    <row r="1" spans="1:13" x14ac:dyDescent="0.3">
      <c r="A1" s="28" t="s">
        <v>42</v>
      </c>
      <c r="C1" s="69" t="s">
        <v>43</v>
      </c>
      <c r="D1" s="69"/>
      <c r="L1" s="28" t="s">
        <v>4</v>
      </c>
      <c r="M1" s="48" t="s">
        <v>88</v>
      </c>
    </row>
    <row r="3" spans="1:13" ht="18" x14ac:dyDescent="0.35">
      <c r="B3" s="44" t="s">
        <v>0</v>
      </c>
      <c r="C3" s="45" t="s">
        <v>1</v>
      </c>
      <c r="D3" s="46" t="s">
        <v>2</v>
      </c>
      <c r="E3" s="47"/>
      <c r="F3" s="47"/>
      <c r="G3" s="44" t="s">
        <v>0</v>
      </c>
      <c r="H3" s="45" t="s">
        <v>1</v>
      </c>
      <c r="I3" s="46" t="s">
        <v>2</v>
      </c>
      <c r="K3" s="72" t="s">
        <v>35</v>
      </c>
      <c r="L3" s="72"/>
      <c r="M3" s="72"/>
    </row>
    <row r="4" spans="1:13" x14ac:dyDescent="0.3">
      <c r="A4" s="43" t="s">
        <v>60</v>
      </c>
      <c r="B4" s="51">
        <v>4000</v>
      </c>
      <c r="C4" s="49"/>
      <c r="D4" s="33">
        <f>B4-C4</f>
        <v>4000</v>
      </c>
      <c r="E4" s="36"/>
      <c r="G4" s="29"/>
      <c r="I4" s="30"/>
    </row>
    <row r="5" spans="1:13" x14ac:dyDescent="0.3">
      <c r="B5" s="40"/>
      <c r="C5" s="41"/>
      <c r="D5" s="42"/>
      <c r="E5" s="36"/>
      <c r="G5" s="29"/>
      <c r="I5" s="30"/>
      <c r="K5" s="28" t="s">
        <v>38</v>
      </c>
      <c r="M5" s="37">
        <f>Feb!M15</f>
        <v>355.52000000000044</v>
      </c>
    </row>
    <row r="6" spans="1:13" ht="18" x14ac:dyDescent="0.35">
      <c r="A6" s="70" t="s">
        <v>6</v>
      </c>
      <c r="B6" s="70"/>
      <c r="C6" s="70"/>
      <c r="D6" s="70"/>
      <c r="F6" s="70" t="s">
        <v>12</v>
      </c>
      <c r="G6" s="70"/>
      <c r="H6" s="70"/>
      <c r="I6" s="70"/>
    </row>
    <row r="7" spans="1:13" x14ac:dyDescent="0.3">
      <c r="A7" s="28" t="s">
        <v>73</v>
      </c>
      <c r="B7" s="51">
        <v>350</v>
      </c>
      <c r="C7" s="49"/>
      <c r="D7" s="33">
        <f>B7-C7</f>
        <v>350</v>
      </c>
      <c r="E7" s="36"/>
      <c r="F7" s="28" t="s">
        <v>51</v>
      </c>
      <c r="G7" s="51">
        <v>20</v>
      </c>
      <c r="H7" s="49"/>
      <c r="I7" s="33">
        <f>G7-H7</f>
        <v>20</v>
      </c>
      <c r="K7" s="28" t="s">
        <v>36</v>
      </c>
    </row>
    <row r="8" spans="1:13" x14ac:dyDescent="0.3">
      <c r="A8" s="28" t="s">
        <v>74</v>
      </c>
      <c r="B8" s="51">
        <v>130</v>
      </c>
      <c r="C8" s="49"/>
      <c r="D8" s="33">
        <f t="shared" ref="D8:D12" si="0">B8-C8</f>
        <v>130</v>
      </c>
      <c r="E8" s="36"/>
      <c r="F8" s="28" t="s">
        <v>50</v>
      </c>
      <c r="G8" s="51">
        <v>35</v>
      </c>
      <c r="H8" s="49"/>
      <c r="I8" s="33">
        <f t="shared" ref="I8:I10" si="1">G8-H8</f>
        <v>35</v>
      </c>
      <c r="K8" s="34" t="s">
        <v>37</v>
      </c>
      <c r="M8" s="37">
        <f>C4</f>
        <v>0</v>
      </c>
    </row>
    <row r="9" spans="1:13" x14ac:dyDescent="0.3">
      <c r="A9" s="28" t="s">
        <v>52</v>
      </c>
      <c r="B9" s="51">
        <v>50</v>
      </c>
      <c r="C9" s="49"/>
      <c r="D9" s="33">
        <f t="shared" si="0"/>
        <v>50</v>
      </c>
      <c r="E9" s="36"/>
      <c r="F9" s="28" t="s">
        <v>61</v>
      </c>
      <c r="G9" s="51">
        <v>70</v>
      </c>
      <c r="H9" s="49"/>
      <c r="I9" s="33">
        <f t="shared" si="1"/>
        <v>70</v>
      </c>
    </row>
    <row r="10" spans="1:13" ht="16.2" thickBot="1" x14ac:dyDescent="0.35">
      <c r="A10" s="28" t="s">
        <v>75</v>
      </c>
      <c r="B10" s="51">
        <v>50</v>
      </c>
      <c r="C10" s="49"/>
      <c r="D10" s="33">
        <f t="shared" si="0"/>
        <v>50</v>
      </c>
      <c r="E10" s="36"/>
      <c r="F10" s="57" t="s">
        <v>13</v>
      </c>
      <c r="G10" s="35">
        <f>SUM(G7:G9)</f>
        <v>125</v>
      </c>
      <c r="H10" s="53">
        <f>SUM(H7:H9)</f>
        <v>0</v>
      </c>
      <c r="I10" s="33">
        <f t="shared" si="1"/>
        <v>125</v>
      </c>
      <c r="K10" s="38" t="s">
        <v>46</v>
      </c>
    </row>
    <row r="11" spans="1:13" ht="16.2" thickTop="1" x14ac:dyDescent="0.3">
      <c r="A11" s="28" t="s">
        <v>76</v>
      </c>
      <c r="B11" s="51">
        <v>5</v>
      </c>
      <c r="C11" s="49"/>
      <c r="D11" s="33">
        <f t="shared" si="0"/>
        <v>5</v>
      </c>
      <c r="E11" s="36"/>
      <c r="G11" s="29"/>
      <c r="I11" s="30"/>
      <c r="K11" s="68" t="s">
        <v>90</v>
      </c>
      <c r="M11" s="39">
        <f>H35</f>
        <v>0</v>
      </c>
    </row>
    <row r="12" spans="1:13" ht="18" x14ac:dyDescent="0.35">
      <c r="A12" s="28" t="s">
        <v>77</v>
      </c>
      <c r="B12" s="51">
        <v>150</v>
      </c>
      <c r="C12" s="49"/>
      <c r="D12" s="33">
        <f t="shared" si="0"/>
        <v>150</v>
      </c>
      <c r="E12" s="36"/>
      <c r="F12" s="70" t="s">
        <v>14</v>
      </c>
      <c r="G12" s="70"/>
      <c r="H12" s="70"/>
      <c r="I12" s="70"/>
    </row>
    <row r="13" spans="1:13" x14ac:dyDescent="0.3">
      <c r="A13" s="28" t="s">
        <v>78</v>
      </c>
      <c r="B13" s="51">
        <v>40</v>
      </c>
      <c r="C13" s="49"/>
      <c r="D13" s="33">
        <f>B13-C13</f>
        <v>40</v>
      </c>
      <c r="E13" s="36"/>
      <c r="F13" s="28" t="s">
        <v>85</v>
      </c>
      <c r="G13" s="51">
        <v>0</v>
      </c>
      <c r="H13" s="49"/>
      <c r="I13" s="33">
        <f>G13-H13</f>
        <v>0</v>
      </c>
      <c r="K13" s="28" t="s">
        <v>34</v>
      </c>
      <c r="M13" s="37">
        <f>M8-M11</f>
        <v>0</v>
      </c>
    </row>
    <row r="14" spans="1:13" ht="16.2" thickBot="1" x14ac:dyDescent="0.35">
      <c r="A14" s="56" t="s">
        <v>9</v>
      </c>
      <c r="B14" s="35">
        <f>SUM(B7:B13)</f>
        <v>775</v>
      </c>
      <c r="C14" s="53">
        <f>SUM(C7:C13)</f>
        <v>0</v>
      </c>
      <c r="D14" s="33">
        <f>B14-C14</f>
        <v>775</v>
      </c>
      <c r="E14" s="36"/>
      <c r="F14" s="28" t="s">
        <v>62</v>
      </c>
      <c r="G14" s="51">
        <v>0</v>
      </c>
      <c r="H14" s="49"/>
      <c r="I14" s="33">
        <f t="shared" ref="I14:I16" si="2">G14-H14</f>
        <v>0</v>
      </c>
    </row>
    <row r="15" spans="1:13" ht="16.2" thickTop="1" x14ac:dyDescent="0.3">
      <c r="B15" s="29"/>
      <c r="D15" s="30"/>
      <c r="F15" s="28" t="s">
        <v>86</v>
      </c>
      <c r="G15" s="51">
        <v>150</v>
      </c>
      <c r="H15" s="49"/>
      <c r="I15" s="33">
        <f t="shared" si="2"/>
        <v>150</v>
      </c>
      <c r="K15" s="54" t="s">
        <v>39</v>
      </c>
      <c r="M15" s="37">
        <f>M5+M13</f>
        <v>355.52000000000044</v>
      </c>
    </row>
    <row r="16" spans="1:13" ht="18.600000000000001" thickBot="1" x14ac:dyDescent="0.4">
      <c r="A16" s="70" t="s">
        <v>7</v>
      </c>
      <c r="B16" s="70"/>
      <c r="C16" s="70"/>
      <c r="D16" s="70"/>
      <c r="F16" s="57" t="s">
        <v>15</v>
      </c>
      <c r="G16" s="35">
        <f>SUM(G13:G15)</f>
        <v>150</v>
      </c>
      <c r="H16" s="53">
        <f>SUM(H13:H15)</f>
        <v>0</v>
      </c>
      <c r="I16" s="33">
        <f t="shared" si="2"/>
        <v>150</v>
      </c>
    </row>
    <row r="17" spans="1:12" ht="16.2" thickTop="1" x14ac:dyDescent="0.3">
      <c r="A17" s="28" t="s">
        <v>79</v>
      </c>
      <c r="B17" s="51">
        <v>50</v>
      </c>
      <c r="C17" s="49"/>
      <c r="D17" s="33">
        <f>B17-C17</f>
        <v>50</v>
      </c>
      <c r="E17" s="36"/>
      <c r="G17" s="29"/>
      <c r="I17" s="30"/>
    </row>
    <row r="18" spans="1:12" ht="18" x14ac:dyDescent="0.35">
      <c r="A18" s="28" t="s">
        <v>80</v>
      </c>
      <c r="B18" s="51">
        <v>200</v>
      </c>
      <c r="C18" s="49"/>
      <c r="D18" s="33">
        <f>B18-C18</f>
        <v>200</v>
      </c>
      <c r="E18" s="36"/>
      <c r="F18" s="70" t="s">
        <v>17</v>
      </c>
      <c r="G18" s="70"/>
      <c r="H18" s="70"/>
      <c r="I18" s="70"/>
      <c r="K18" s="58" t="s">
        <v>91</v>
      </c>
    </row>
    <row r="19" spans="1:12" x14ac:dyDescent="0.3">
      <c r="A19" s="28" t="s">
        <v>81</v>
      </c>
      <c r="B19" s="51">
        <v>70</v>
      </c>
      <c r="C19" s="49"/>
      <c r="D19" s="33">
        <f>B19-C19</f>
        <v>70</v>
      </c>
      <c r="E19" s="36"/>
      <c r="F19" s="28" t="s">
        <v>58</v>
      </c>
      <c r="G19" s="51">
        <v>60</v>
      </c>
      <c r="H19" s="49"/>
      <c r="I19" s="33">
        <f>G19-H19</f>
        <v>60</v>
      </c>
      <c r="K19" s="58" t="s">
        <v>92</v>
      </c>
    </row>
    <row r="20" spans="1:12" x14ac:dyDescent="0.3">
      <c r="A20" s="28" t="s">
        <v>82</v>
      </c>
      <c r="B20" s="51">
        <v>300</v>
      </c>
      <c r="C20" s="49"/>
      <c r="D20" s="33">
        <f>B20-C20</f>
        <v>300</v>
      </c>
      <c r="E20" s="36"/>
      <c r="F20" s="28" t="s">
        <v>59</v>
      </c>
      <c r="G20" s="51">
        <v>0</v>
      </c>
      <c r="H20" s="49"/>
      <c r="I20" s="33">
        <f t="shared" ref="I20:I21" si="3">G20-H20</f>
        <v>0</v>
      </c>
      <c r="K20" s="58" t="s">
        <v>93</v>
      </c>
    </row>
    <row r="21" spans="1:12" ht="16.2" thickBot="1" x14ac:dyDescent="0.35">
      <c r="A21" s="56" t="s">
        <v>10</v>
      </c>
      <c r="B21" s="35">
        <f>SUM(B17:B20)</f>
        <v>620</v>
      </c>
      <c r="C21" s="53">
        <f>SUM(C17:C20)</f>
        <v>0</v>
      </c>
      <c r="D21" s="33">
        <f>B21-C21</f>
        <v>620</v>
      </c>
      <c r="E21" s="36"/>
      <c r="F21" s="57" t="s">
        <v>18</v>
      </c>
      <c r="G21" s="35">
        <f>SUM(G19:G20)</f>
        <v>60</v>
      </c>
      <c r="H21" s="53">
        <f>SUM(H19:H20)</f>
        <v>0</v>
      </c>
      <c r="I21" s="33">
        <f t="shared" si="3"/>
        <v>60</v>
      </c>
    </row>
    <row r="22" spans="1:12" ht="16.2" thickTop="1" x14ac:dyDescent="0.3">
      <c r="B22" s="29"/>
      <c r="D22" s="30"/>
      <c r="K22" s="58" t="s">
        <v>95</v>
      </c>
    </row>
    <row r="23" spans="1:12" ht="18" x14ac:dyDescent="0.35">
      <c r="A23" s="71" t="s">
        <v>8</v>
      </c>
      <c r="B23" s="71"/>
      <c r="C23" s="71"/>
      <c r="D23" s="71"/>
      <c r="F23" s="70" t="s">
        <v>53</v>
      </c>
      <c r="G23" s="70"/>
      <c r="H23" s="70"/>
      <c r="I23" s="70"/>
    </row>
    <row r="24" spans="1:12" x14ac:dyDescent="0.3">
      <c r="A24" s="28" t="s">
        <v>83</v>
      </c>
      <c r="B24" s="51">
        <v>200</v>
      </c>
      <c r="C24" s="49"/>
      <c r="D24" s="33">
        <f>B24-C24</f>
        <v>200</v>
      </c>
      <c r="E24" s="36"/>
      <c r="F24" s="28" t="s">
        <v>64</v>
      </c>
      <c r="G24" s="51">
        <v>400</v>
      </c>
      <c r="H24" s="49"/>
      <c r="I24" s="33">
        <f t="shared" ref="I24:I29" si="4">G24-H24</f>
        <v>400</v>
      </c>
      <c r="K24" s="65"/>
      <c r="L24" s="65"/>
    </row>
    <row r="25" spans="1:12" x14ac:dyDescent="0.3">
      <c r="A25" s="28" t="s">
        <v>84</v>
      </c>
      <c r="B25" s="51">
        <v>1000</v>
      </c>
      <c r="C25" s="49"/>
      <c r="D25" s="33">
        <f>B25-C25</f>
        <v>1000</v>
      </c>
      <c r="E25" s="36"/>
      <c r="F25" s="28" t="s">
        <v>54</v>
      </c>
      <c r="G25" s="51">
        <v>100</v>
      </c>
      <c r="H25" s="49"/>
      <c r="I25" s="33">
        <f t="shared" si="4"/>
        <v>100</v>
      </c>
      <c r="K25" s="65"/>
      <c r="L25" s="65"/>
    </row>
    <row r="26" spans="1:12" ht="16.2" thickBot="1" x14ac:dyDescent="0.35">
      <c r="A26" s="56" t="s">
        <v>11</v>
      </c>
      <c r="B26" s="35">
        <f>SUM(B24:B25)</f>
        <v>1200</v>
      </c>
      <c r="C26" s="53">
        <f>SUM(C24:C25)</f>
        <v>0</v>
      </c>
      <c r="D26" s="33">
        <f>B26-C26</f>
        <v>1200</v>
      </c>
      <c r="E26" s="36"/>
      <c r="F26" s="28" t="s">
        <v>55</v>
      </c>
      <c r="G26" s="51">
        <v>75</v>
      </c>
      <c r="H26" s="49"/>
      <c r="I26" s="33">
        <f t="shared" si="4"/>
        <v>75</v>
      </c>
      <c r="K26" s="65"/>
      <c r="L26" s="65"/>
    </row>
    <row r="27" spans="1:12" ht="16.2" thickTop="1" x14ac:dyDescent="0.3">
      <c r="F27" s="28" t="s">
        <v>56</v>
      </c>
      <c r="G27" s="51">
        <v>100</v>
      </c>
      <c r="H27" s="49"/>
      <c r="I27" s="33">
        <f t="shared" si="4"/>
        <v>100</v>
      </c>
      <c r="K27" s="65"/>
      <c r="L27" s="65"/>
    </row>
    <row r="28" spans="1:12" x14ac:dyDescent="0.3">
      <c r="F28" s="28" t="s">
        <v>57</v>
      </c>
      <c r="G28" s="51">
        <v>65</v>
      </c>
      <c r="H28" s="49"/>
      <c r="I28" s="33">
        <f t="shared" si="4"/>
        <v>65</v>
      </c>
      <c r="K28" s="65"/>
      <c r="L28" s="65"/>
    </row>
    <row r="29" spans="1:12" ht="16.2" thickBot="1" x14ac:dyDescent="0.35">
      <c r="F29" s="57" t="s">
        <v>44</v>
      </c>
      <c r="G29" s="35">
        <f>SUM(G24:G28)</f>
        <v>740</v>
      </c>
      <c r="H29" s="53">
        <f>SUM(H24:H28)</f>
        <v>0</v>
      </c>
      <c r="I29" s="33">
        <f t="shared" si="4"/>
        <v>740</v>
      </c>
      <c r="K29" s="65"/>
      <c r="L29" s="65"/>
    </row>
    <row r="30" spans="1:12" ht="16.2" thickTop="1" x14ac:dyDescent="0.3"/>
    <row r="31" spans="1:12" ht="18" x14ac:dyDescent="0.35">
      <c r="F31" s="70" t="s">
        <v>16</v>
      </c>
      <c r="G31" s="70"/>
      <c r="H31" s="70"/>
      <c r="I31" s="70"/>
    </row>
    <row r="32" spans="1:12" ht="16.2" thickBot="1" x14ac:dyDescent="0.35">
      <c r="F32" s="57" t="s">
        <v>45</v>
      </c>
      <c r="G32" s="52">
        <f>0.1*$C$4</f>
        <v>0</v>
      </c>
      <c r="H32" s="50"/>
      <c r="I32" s="33">
        <f>G32-H32</f>
        <v>0</v>
      </c>
    </row>
    <row r="33" spans="6:9" ht="16.2" thickTop="1" x14ac:dyDescent="0.3">
      <c r="G33" s="29"/>
      <c r="I33" s="30"/>
    </row>
    <row r="34" spans="6:9" x14ac:dyDescent="0.3">
      <c r="G34" s="29"/>
      <c r="I34" s="30"/>
    </row>
    <row r="35" spans="6:9" ht="16.2" thickBot="1" x14ac:dyDescent="0.35">
      <c r="F35" s="66" t="s">
        <v>94</v>
      </c>
      <c r="G35" s="31">
        <f>SUM(B14,B21,B26,G16,G10,G21,G29,G32)</f>
        <v>3670</v>
      </c>
      <c r="H35" s="55">
        <f>SUM(C14,C21,C26,H16,H10,H21,H29,H32)</f>
        <v>0</v>
      </c>
      <c r="I35" s="32">
        <f>G35-H35</f>
        <v>3670</v>
      </c>
    </row>
  </sheetData>
  <sheetProtection algorithmName="SHA-512" hashValue="vOt3PEYySW5aga+KcHtTf0q9DHRQ+bRroEIQneVgBXb5EtH859MJ8wHqwOHzP/QOz21Bx9zOuV5yU74jfpePyA==" saltValue="PLHpbaqgOqjDxJhsCZIWjA==" spinCount="100000" sheet="1" objects="1" scenarios="1" selectLockedCells="1"/>
  <mergeCells count="10">
    <mergeCell ref="C1:D1"/>
    <mergeCell ref="K3:M3"/>
    <mergeCell ref="A6:D6"/>
    <mergeCell ref="F6:I6"/>
    <mergeCell ref="F12:I12"/>
    <mergeCell ref="A16:D16"/>
    <mergeCell ref="F18:I18"/>
    <mergeCell ref="A23:D23"/>
    <mergeCell ref="F23:I23"/>
    <mergeCell ref="F31:I31"/>
  </mergeCells>
  <conditionalFormatting sqref="M1:M2 M4:M1048576">
    <cfRule type="cellIs" dxfId="6" priority="1" operator="lessThan">
      <formula>0</formula>
    </cfRule>
  </conditionalFormatting>
  <conditionalFormatting sqref="D1:D5 I1:I5 D7:D15 D17:D22 D24:D1048576 I24:I30 I32:I1048576 I7:I11 I13:I17 I19:I22">
    <cfRule type="cellIs" dxfId="5" priority="2" operator="lessThan">
      <formula>0</formula>
    </cfRule>
  </conditionalFormatting>
  <dataValidations count="1">
    <dataValidation type="decimal" operator="greaterThanOrEqual" allowBlank="1" showInputMessage="1" showErrorMessage="1" errorTitle="Invalid Input" error="Please enter a nonnegative numeric only." sqref="B4:C4 B7:C13 B17:C20 B24:C25 G7:H9 G19:H20 G24:H28 G32:H32 G13:H15" xr:uid="{6DAD6456-4A6F-4E70-97BF-84FCF892D17B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5CF8A-267A-42A7-B623-D9D98EB75065}">
  <sheetPr codeName="Sheet12"/>
  <dimension ref="A1:M35"/>
  <sheetViews>
    <sheetView zoomScaleNormal="100" zoomScalePageLayoutView="150" workbookViewId="0">
      <selection activeCell="G13" sqref="G13"/>
    </sheetView>
  </sheetViews>
  <sheetFormatPr defaultColWidth="11" defaultRowHeight="15.6" x14ac:dyDescent="0.3"/>
  <cols>
    <col min="1" max="1" width="14.296875" style="28" customWidth="1"/>
    <col min="2" max="2" width="12.8984375" style="27" customWidth="1"/>
    <col min="3" max="4" width="11.8984375" style="27" bestFit="1" customWidth="1"/>
    <col min="5" max="5" width="1.8984375" style="28" customWidth="1"/>
    <col min="6" max="6" width="18.09765625" style="28" customWidth="1"/>
    <col min="7" max="9" width="11.8984375" style="27" bestFit="1" customWidth="1"/>
    <col min="10" max="10" width="2.19921875" style="28" customWidth="1"/>
    <col min="11" max="11" width="17" style="28" customWidth="1"/>
    <col min="12" max="12" width="8" style="28" customWidth="1"/>
    <col min="13" max="13" width="11" style="27"/>
    <col min="14" max="16384" width="11" style="28"/>
  </cols>
  <sheetData>
    <row r="1" spans="1:13" x14ac:dyDescent="0.3">
      <c r="A1" s="28" t="s">
        <v>42</v>
      </c>
      <c r="C1" s="69" t="s">
        <v>43</v>
      </c>
      <c r="D1" s="69"/>
      <c r="L1" s="28" t="s">
        <v>4</v>
      </c>
      <c r="M1" s="48" t="s">
        <v>89</v>
      </c>
    </row>
    <row r="3" spans="1:13" ht="18" x14ac:dyDescent="0.35">
      <c r="B3" s="44" t="s">
        <v>0</v>
      </c>
      <c r="C3" s="45" t="s">
        <v>1</v>
      </c>
      <c r="D3" s="46" t="s">
        <v>2</v>
      </c>
      <c r="E3" s="47"/>
      <c r="F3" s="47"/>
      <c r="G3" s="44" t="s">
        <v>0</v>
      </c>
      <c r="H3" s="45" t="s">
        <v>1</v>
      </c>
      <c r="I3" s="46" t="s">
        <v>2</v>
      </c>
      <c r="K3" s="72" t="s">
        <v>35</v>
      </c>
      <c r="L3" s="72"/>
      <c r="M3" s="72"/>
    </row>
    <row r="4" spans="1:13" x14ac:dyDescent="0.3">
      <c r="A4" s="43" t="s">
        <v>60</v>
      </c>
      <c r="B4" s="51">
        <v>4000</v>
      </c>
      <c r="C4" s="49"/>
      <c r="D4" s="33">
        <f>B4-C4</f>
        <v>4000</v>
      </c>
      <c r="E4" s="36"/>
      <c r="G4" s="29"/>
      <c r="I4" s="30"/>
    </row>
    <row r="5" spans="1:13" x14ac:dyDescent="0.3">
      <c r="B5" s="40"/>
      <c r="C5" s="41"/>
      <c r="D5" s="42"/>
      <c r="E5" s="36"/>
      <c r="G5" s="29"/>
      <c r="I5" s="30"/>
      <c r="K5" s="28" t="s">
        <v>38</v>
      </c>
      <c r="M5" s="37">
        <f>Mar!M15</f>
        <v>355.52000000000044</v>
      </c>
    </row>
    <row r="6" spans="1:13" ht="18" x14ac:dyDescent="0.35">
      <c r="A6" s="70" t="s">
        <v>6</v>
      </c>
      <c r="B6" s="70"/>
      <c r="C6" s="70"/>
      <c r="D6" s="70"/>
      <c r="F6" s="70" t="s">
        <v>12</v>
      </c>
      <c r="G6" s="70"/>
      <c r="H6" s="70"/>
      <c r="I6" s="70"/>
    </row>
    <row r="7" spans="1:13" x14ac:dyDescent="0.3">
      <c r="A7" s="28" t="s">
        <v>73</v>
      </c>
      <c r="B7" s="51">
        <v>350</v>
      </c>
      <c r="C7" s="49"/>
      <c r="D7" s="33">
        <f>B7-C7</f>
        <v>350</v>
      </c>
      <c r="E7" s="36"/>
      <c r="F7" s="28" t="s">
        <v>51</v>
      </c>
      <c r="G7" s="51">
        <v>20</v>
      </c>
      <c r="H7" s="49"/>
      <c r="I7" s="33">
        <f>G7-H7</f>
        <v>20</v>
      </c>
      <c r="K7" s="28" t="s">
        <v>36</v>
      </c>
    </row>
    <row r="8" spans="1:13" x14ac:dyDescent="0.3">
      <c r="A8" s="28" t="s">
        <v>74</v>
      </c>
      <c r="B8" s="51">
        <v>130</v>
      </c>
      <c r="C8" s="49"/>
      <c r="D8" s="33">
        <f t="shared" ref="D8:D12" si="0">B8-C8</f>
        <v>130</v>
      </c>
      <c r="E8" s="36"/>
      <c r="F8" s="28" t="s">
        <v>50</v>
      </c>
      <c r="G8" s="51">
        <v>35</v>
      </c>
      <c r="H8" s="49">
        <v>0</v>
      </c>
      <c r="I8" s="33">
        <f t="shared" ref="I8:I10" si="1">G8-H8</f>
        <v>35</v>
      </c>
      <c r="K8" s="34" t="s">
        <v>37</v>
      </c>
      <c r="M8" s="37">
        <f>C4</f>
        <v>0</v>
      </c>
    </row>
    <row r="9" spans="1:13" x14ac:dyDescent="0.3">
      <c r="A9" s="28" t="s">
        <v>52</v>
      </c>
      <c r="B9" s="51">
        <v>50</v>
      </c>
      <c r="C9" s="49"/>
      <c r="D9" s="33">
        <f t="shared" si="0"/>
        <v>50</v>
      </c>
      <c r="E9" s="36"/>
      <c r="F9" s="28" t="s">
        <v>61</v>
      </c>
      <c r="G9" s="51">
        <v>70</v>
      </c>
      <c r="H9" s="49"/>
      <c r="I9" s="33">
        <f t="shared" si="1"/>
        <v>70</v>
      </c>
    </row>
    <row r="10" spans="1:13" ht="16.2" thickBot="1" x14ac:dyDescent="0.35">
      <c r="A10" s="28" t="s">
        <v>75</v>
      </c>
      <c r="B10" s="51">
        <v>50</v>
      </c>
      <c r="C10" s="49"/>
      <c r="D10" s="33">
        <f t="shared" si="0"/>
        <v>50</v>
      </c>
      <c r="E10" s="36"/>
      <c r="F10" s="57" t="s">
        <v>13</v>
      </c>
      <c r="G10" s="35">
        <f>SUM(G7:G9)</f>
        <v>125</v>
      </c>
      <c r="H10" s="53">
        <f>SUM(H7:H9)</f>
        <v>0</v>
      </c>
      <c r="I10" s="33">
        <f t="shared" si="1"/>
        <v>125</v>
      </c>
      <c r="K10" s="38" t="s">
        <v>46</v>
      </c>
    </row>
    <row r="11" spans="1:13" ht="16.2" thickTop="1" x14ac:dyDescent="0.3">
      <c r="A11" s="28" t="s">
        <v>76</v>
      </c>
      <c r="B11" s="51">
        <v>5</v>
      </c>
      <c r="C11" s="49"/>
      <c r="D11" s="33">
        <f t="shared" si="0"/>
        <v>5</v>
      </c>
      <c r="E11" s="36"/>
      <c r="G11" s="29"/>
      <c r="I11" s="30"/>
      <c r="K11" s="68" t="s">
        <v>90</v>
      </c>
      <c r="M11" s="39">
        <f>H35</f>
        <v>0</v>
      </c>
    </row>
    <row r="12" spans="1:13" ht="18" x14ac:dyDescent="0.35">
      <c r="A12" s="28" t="s">
        <v>77</v>
      </c>
      <c r="B12" s="51">
        <v>150</v>
      </c>
      <c r="C12" s="49"/>
      <c r="D12" s="33">
        <f t="shared" si="0"/>
        <v>150</v>
      </c>
      <c r="E12" s="36"/>
      <c r="F12" s="70" t="s">
        <v>14</v>
      </c>
      <c r="G12" s="70"/>
      <c r="H12" s="70"/>
      <c r="I12" s="70"/>
    </row>
    <row r="13" spans="1:13" x14ac:dyDescent="0.3">
      <c r="A13" s="28" t="s">
        <v>78</v>
      </c>
      <c r="B13" s="51">
        <v>40</v>
      </c>
      <c r="C13" s="49"/>
      <c r="D13" s="33">
        <f>B13-C13</f>
        <v>40</v>
      </c>
      <c r="E13" s="36"/>
      <c r="F13" s="28" t="s">
        <v>85</v>
      </c>
      <c r="G13" s="51">
        <v>0</v>
      </c>
      <c r="H13" s="49"/>
      <c r="I13" s="33">
        <f>G13-H13</f>
        <v>0</v>
      </c>
      <c r="K13" s="28" t="s">
        <v>34</v>
      </c>
      <c r="M13" s="37">
        <f>M8-M11</f>
        <v>0</v>
      </c>
    </row>
    <row r="14" spans="1:13" ht="16.2" thickBot="1" x14ac:dyDescent="0.35">
      <c r="A14" s="56" t="s">
        <v>9</v>
      </c>
      <c r="B14" s="35">
        <f>SUM(B7:B13)</f>
        <v>775</v>
      </c>
      <c r="C14" s="53">
        <f>SUM(C7:C13)</f>
        <v>0</v>
      </c>
      <c r="D14" s="33">
        <f>B14-C14</f>
        <v>775</v>
      </c>
      <c r="E14" s="36"/>
      <c r="F14" s="28" t="s">
        <v>62</v>
      </c>
      <c r="G14" s="51">
        <v>0</v>
      </c>
      <c r="H14" s="49"/>
      <c r="I14" s="33">
        <f t="shared" ref="I14:I16" si="2">G14-H14</f>
        <v>0</v>
      </c>
    </row>
    <row r="15" spans="1:13" ht="16.2" thickTop="1" x14ac:dyDescent="0.3">
      <c r="B15" s="29"/>
      <c r="D15" s="30"/>
      <c r="F15" s="28" t="s">
        <v>86</v>
      </c>
      <c r="G15" s="51">
        <v>150</v>
      </c>
      <c r="H15" s="49"/>
      <c r="I15" s="33">
        <f t="shared" si="2"/>
        <v>150</v>
      </c>
      <c r="K15" s="54" t="s">
        <v>39</v>
      </c>
      <c r="M15" s="37">
        <f>M5+M13</f>
        <v>355.52000000000044</v>
      </c>
    </row>
    <row r="16" spans="1:13" ht="18.600000000000001" thickBot="1" x14ac:dyDescent="0.4">
      <c r="A16" s="70" t="s">
        <v>7</v>
      </c>
      <c r="B16" s="70"/>
      <c r="C16" s="70"/>
      <c r="D16" s="70"/>
      <c r="F16" s="57" t="s">
        <v>15</v>
      </c>
      <c r="G16" s="35">
        <f>SUM(G13:G15)</f>
        <v>150</v>
      </c>
      <c r="H16" s="53">
        <f>SUM(H13:H15)</f>
        <v>0</v>
      </c>
      <c r="I16" s="33">
        <f t="shared" si="2"/>
        <v>150</v>
      </c>
    </row>
    <row r="17" spans="1:12" ht="16.2" thickTop="1" x14ac:dyDescent="0.3">
      <c r="A17" s="28" t="s">
        <v>79</v>
      </c>
      <c r="B17" s="51">
        <v>50</v>
      </c>
      <c r="C17" s="49"/>
      <c r="D17" s="33">
        <f>B17-C17</f>
        <v>50</v>
      </c>
      <c r="E17" s="36"/>
      <c r="G17" s="29"/>
      <c r="I17" s="30"/>
    </row>
    <row r="18" spans="1:12" ht="18" x14ac:dyDescent="0.35">
      <c r="A18" s="28" t="s">
        <v>80</v>
      </c>
      <c r="B18" s="51">
        <v>200</v>
      </c>
      <c r="C18" s="49"/>
      <c r="D18" s="33">
        <f>B18-C18</f>
        <v>200</v>
      </c>
      <c r="E18" s="36"/>
      <c r="F18" s="70" t="s">
        <v>17</v>
      </c>
      <c r="G18" s="70"/>
      <c r="H18" s="70"/>
      <c r="I18" s="70"/>
      <c r="K18" s="58" t="s">
        <v>91</v>
      </c>
    </row>
    <row r="19" spans="1:12" x14ac:dyDescent="0.3">
      <c r="A19" s="28" t="s">
        <v>81</v>
      </c>
      <c r="B19" s="51">
        <v>70</v>
      </c>
      <c r="C19" s="49"/>
      <c r="D19" s="33">
        <f>B19-C19</f>
        <v>70</v>
      </c>
      <c r="E19" s="36"/>
      <c r="F19" s="28" t="s">
        <v>58</v>
      </c>
      <c r="G19" s="51">
        <v>60</v>
      </c>
      <c r="H19" s="49"/>
      <c r="I19" s="33">
        <f>G19-H19</f>
        <v>60</v>
      </c>
      <c r="K19" s="58" t="s">
        <v>92</v>
      </c>
    </row>
    <row r="20" spans="1:12" x14ac:dyDescent="0.3">
      <c r="A20" s="28" t="s">
        <v>82</v>
      </c>
      <c r="B20" s="51">
        <v>300</v>
      </c>
      <c r="C20" s="49"/>
      <c r="D20" s="33">
        <f>B20-C20</f>
        <v>300</v>
      </c>
      <c r="E20" s="36"/>
      <c r="F20" s="28" t="s">
        <v>59</v>
      </c>
      <c r="G20" s="51">
        <v>0</v>
      </c>
      <c r="H20" s="49"/>
      <c r="I20" s="33">
        <f t="shared" ref="I20:I21" si="3">G20-H20</f>
        <v>0</v>
      </c>
      <c r="K20" s="58" t="s">
        <v>93</v>
      </c>
    </row>
    <row r="21" spans="1:12" ht="16.2" thickBot="1" x14ac:dyDescent="0.35">
      <c r="A21" s="56" t="s">
        <v>10</v>
      </c>
      <c r="B21" s="35">
        <f>SUM(B17:B20)</f>
        <v>620</v>
      </c>
      <c r="C21" s="53">
        <f>SUM(C17:C20)</f>
        <v>0</v>
      </c>
      <c r="D21" s="33">
        <f>B21-C21</f>
        <v>620</v>
      </c>
      <c r="E21" s="36"/>
      <c r="F21" s="57" t="s">
        <v>18</v>
      </c>
      <c r="G21" s="35">
        <f>SUM(G19:G20)</f>
        <v>60</v>
      </c>
      <c r="H21" s="53">
        <f>SUM(H19:H20)</f>
        <v>0</v>
      </c>
      <c r="I21" s="33">
        <f t="shared" si="3"/>
        <v>60</v>
      </c>
    </row>
    <row r="22" spans="1:12" ht="16.2" thickTop="1" x14ac:dyDescent="0.3">
      <c r="B22" s="29"/>
      <c r="D22" s="30"/>
      <c r="K22" s="58" t="s">
        <v>95</v>
      </c>
    </row>
    <row r="23" spans="1:12" ht="18" x14ac:dyDescent="0.35">
      <c r="A23" s="71" t="s">
        <v>8</v>
      </c>
      <c r="B23" s="71"/>
      <c r="C23" s="71"/>
      <c r="D23" s="71"/>
      <c r="F23" s="70" t="s">
        <v>53</v>
      </c>
      <c r="G23" s="70"/>
      <c r="H23" s="70"/>
      <c r="I23" s="70"/>
    </row>
    <row r="24" spans="1:12" x14ac:dyDescent="0.3">
      <c r="A24" s="28" t="s">
        <v>83</v>
      </c>
      <c r="B24" s="51">
        <v>200</v>
      </c>
      <c r="C24" s="49"/>
      <c r="D24" s="33">
        <f>B24-C24</f>
        <v>200</v>
      </c>
      <c r="E24" s="36"/>
      <c r="F24" s="28" t="s">
        <v>64</v>
      </c>
      <c r="G24" s="51">
        <v>400</v>
      </c>
      <c r="H24" s="49"/>
      <c r="I24" s="33">
        <f t="shared" ref="I24:I29" si="4">G24-H24</f>
        <v>400</v>
      </c>
      <c r="K24" s="65"/>
      <c r="L24" s="65"/>
    </row>
    <row r="25" spans="1:12" x14ac:dyDescent="0.3">
      <c r="A25" s="28" t="s">
        <v>84</v>
      </c>
      <c r="B25" s="51">
        <v>1000</v>
      </c>
      <c r="C25" s="49"/>
      <c r="D25" s="33">
        <f>B25-C25</f>
        <v>1000</v>
      </c>
      <c r="E25" s="36"/>
      <c r="F25" s="28" t="s">
        <v>54</v>
      </c>
      <c r="G25" s="51">
        <v>100</v>
      </c>
      <c r="H25" s="49"/>
      <c r="I25" s="33">
        <f t="shared" si="4"/>
        <v>100</v>
      </c>
      <c r="K25" s="65"/>
      <c r="L25" s="65"/>
    </row>
    <row r="26" spans="1:12" ht="16.2" thickBot="1" x14ac:dyDescent="0.35">
      <c r="A26" s="56" t="s">
        <v>11</v>
      </c>
      <c r="B26" s="35">
        <f>SUM(B24:B25)</f>
        <v>1200</v>
      </c>
      <c r="C26" s="53">
        <f>SUM(C24:C25)</f>
        <v>0</v>
      </c>
      <c r="D26" s="33">
        <f>B26-C26</f>
        <v>1200</v>
      </c>
      <c r="E26" s="36"/>
      <c r="F26" s="28" t="s">
        <v>55</v>
      </c>
      <c r="G26" s="51">
        <v>75</v>
      </c>
      <c r="H26" s="49"/>
      <c r="I26" s="33">
        <f t="shared" si="4"/>
        <v>75</v>
      </c>
      <c r="K26" s="65"/>
      <c r="L26" s="65"/>
    </row>
    <row r="27" spans="1:12" ht="16.2" thickTop="1" x14ac:dyDescent="0.3">
      <c r="F27" s="28" t="s">
        <v>56</v>
      </c>
      <c r="G27" s="51">
        <v>100</v>
      </c>
      <c r="H27" s="49"/>
      <c r="I27" s="33">
        <f t="shared" si="4"/>
        <v>100</v>
      </c>
      <c r="K27" s="65"/>
      <c r="L27" s="65"/>
    </row>
    <row r="28" spans="1:12" x14ac:dyDescent="0.3">
      <c r="F28" s="28" t="s">
        <v>57</v>
      </c>
      <c r="G28" s="51">
        <v>65</v>
      </c>
      <c r="H28" s="49"/>
      <c r="I28" s="33">
        <f t="shared" si="4"/>
        <v>65</v>
      </c>
      <c r="K28" s="65"/>
      <c r="L28" s="65"/>
    </row>
    <row r="29" spans="1:12" ht="16.2" thickBot="1" x14ac:dyDescent="0.35">
      <c r="F29" s="57" t="s">
        <v>44</v>
      </c>
      <c r="G29" s="35">
        <f>SUM(G24:G28)</f>
        <v>740</v>
      </c>
      <c r="H29" s="53">
        <f>SUM(H24:H28)</f>
        <v>0</v>
      </c>
      <c r="I29" s="33">
        <f t="shared" si="4"/>
        <v>740</v>
      </c>
      <c r="K29" s="65"/>
      <c r="L29" s="65"/>
    </row>
    <row r="30" spans="1:12" ht="16.2" thickTop="1" x14ac:dyDescent="0.3"/>
    <row r="31" spans="1:12" ht="18" x14ac:dyDescent="0.35">
      <c r="F31" s="70" t="s">
        <v>16</v>
      </c>
      <c r="G31" s="70"/>
      <c r="H31" s="70"/>
      <c r="I31" s="70"/>
    </row>
    <row r="32" spans="1:12" ht="16.2" thickBot="1" x14ac:dyDescent="0.35">
      <c r="F32" s="57" t="s">
        <v>45</v>
      </c>
      <c r="G32" s="52">
        <f>0.1*$C$4</f>
        <v>0</v>
      </c>
      <c r="H32" s="50"/>
      <c r="I32" s="33">
        <f>G32-H32</f>
        <v>0</v>
      </c>
    </row>
    <row r="33" spans="6:9" ht="16.2" thickTop="1" x14ac:dyDescent="0.3">
      <c r="G33" s="29"/>
      <c r="I33" s="30"/>
    </row>
    <row r="34" spans="6:9" x14ac:dyDescent="0.3">
      <c r="G34" s="29"/>
      <c r="I34" s="30"/>
    </row>
    <row r="35" spans="6:9" ht="16.2" thickBot="1" x14ac:dyDescent="0.35">
      <c r="F35" s="66" t="s">
        <v>94</v>
      </c>
      <c r="G35" s="31">
        <f>SUM(B14,B21,B26,G16,G10,G21,G29,G32)</f>
        <v>3670</v>
      </c>
      <c r="H35" s="55">
        <f>SUM(C14,C21,C26,H16,H10,H21,H29,H32)</f>
        <v>0</v>
      </c>
      <c r="I35" s="32">
        <f>G35-H35</f>
        <v>3670</v>
      </c>
    </row>
  </sheetData>
  <sheetProtection algorithmName="SHA-512" hashValue="oomO+p4XMlZa2Q3MyUleSyNvhRMYx37aPSIdy2cIK4E8YQuRXSQRRSCN2P0T3uO9JVWjEbAjV6m385wvFnBH9A==" saltValue="nQx8W+KhkH40ac8mPBBphg==" spinCount="100000" sheet="1" objects="1" scenarios="1" selectLockedCells="1"/>
  <mergeCells count="10">
    <mergeCell ref="C1:D1"/>
    <mergeCell ref="K3:M3"/>
    <mergeCell ref="A6:D6"/>
    <mergeCell ref="F6:I6"/>
    <mergeCell ref="F12:I12"/>
    <mergeCell ref="A16:D16"/>
    <mergeCell ref="F18:I18"/>
    <mergeCell ref="A23:D23"/>
    <mergeCell ref="F23:I23"/>
    <mergeCell ref="F31:I31"/>
  </mergeCells>
  <conditionalFormatting sqref="M1:M2 M4:M1048576">
    <cfRule type="cellIs" dxfId="4" priority="1" operator="lessThan">
      <formula>0</formula>
    </cfRule>
  </conditionalFormatting>
  <conditionalFormatting sqref="D1:D5 I1:I5 D7:D15 D17:D22 D24:D1048576 I24:I30 I32:I1048576 I7:I11 I13:I17 I19:I22">
    <cfRule type="cellIs" dxfId="3" priority="2" operator="lessThan">
      <formula>0</formula>
    </cfRule>
  </conditionalFormatting>
  <dataValidations count="1">
    <dataValidation type="decimal" operator="greaterThanOrEqual" allowBlank="1" showInputMessage="1" showErrorMessage="1" errorTitle="Invalid Input" error="Please enter a nonnegative numeric only." sqref="B4:C4 B7:C13 B17:C20 B24:C25 G7:H9 G13:H15 G19:H20 G24:H28" xr:uid="{BA4898C9-1DDA-4B19-8BE3-22B5D0982ABA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L2"/>
  <sheetViews>
    <sheetView topLeftCell="A10" zoomScale="90" zoomScaleNormal="90" zoomScalePageLayoutView="130" workbookViewId="0">
      <selection activeCell="O1" sqref="O1"/>
    </sheetView>
  </sheetViews>
  <sheetFormatPr defaultColWidth="11" defaultRowHeight="15.6" x14ac:dyDescent="0.3"/>
  <cols>
    <col min="1" max="1" width="19" style="6" customWidth="1"/>
    <col min="2" max="16384" width="11" style="6"/>
  </cols>
  <sheetData>
    <row r="1" spans="1:12" ht="34.200000000000003" customHeight="1" x14ac:dyDescent="0.3">
      <c r="A1" s="26" t="s">
        <v>63</v>
      </c>
      <c r="B1" s="67" t="s">
        <v>19</v>
      </c>
    </row>
    <row r="2" spans="1:12" ht="36" customHeight="1" x14ac:dyDescent="0.3">
      <c r="E2" s="73" t="s">
        <v>72</v>
      </c>
      <c r="F2" s="73"/>
      <c r="G2" s="73"/>
      <c r="H2" s="73"/>
      <c r="I2" s="73"/>
      <c r="J2" s="73"/>
      <c r="K2" s="73"/>
      <c r="L2" s="73"/>
    </row>
  </sheetData>
  <sheetProtection algorithmName="SHA-512" hashValue="CJ1ty24xxY1/fHNhW84Cn/NrGJG74PnCsyNbYztzLtO+l7ZS1dhSgmhivv4tGBS3E7xN0PGOfATVh5tpjIFPAQ==" saltValue="1U/CaJ75Ay6OlLiO6E+wIA==" spinCount="100000" sheet="1" objects="1" scenarios="1"/>
  <mergeCells count="1">
    <mergeCell ref="E2:L2"/>
  </mergeCells>
  <dataValidations xWindow="332" yWindow="270" count="2">
    <dataValidation type="list" errorStyle="information" allowBlank="1" showInputMessage="1" showErrorMessage="1" errorTitle="Invalid name" error="Please enter a month only." promptTitle="Enter Month" prompt="Enter your desired month" sqref="B2" xr:uid="{6ED0BB0A-D46A-4947-A170-FECEE6A9F253}">
      <formula1>"Jan, Feb, Mar, Apr, May"</formula1>
    </dataValidation>
    <dataValidation type="list" errorStyle="information" allowBlank="1" showInputMessage="1" showErrorMessage="1" errorTitle="Invalid name" error="Please enter a month only." promptTitle="Enter Month" prompt="Enter your desired month to view snapshot" sqref="B1" xr:uid="{CBF36A26-2497-48DB-9411-E3A27989C25D}">
      <formula1>"Jan, Feb, Mar, Apr"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39997558519241921"/>
  </sheetPr>
  <dimension ref="A1:M73"/>
  <sheetViews>
    <sheetView zoomScaleNormal="100" zoomScalePageLayoutView="150" workbookViewId="0">
      <pane ySplit="1" topLeftCell="A8" activePane="bottomLeft" state="frozen"/>
      <selection pane="bottomLeft" activeCell="E46" sqref="E46"/>
    </sheetView>
  </sheetViews>
  <sheetFormatPr defaultColWidth="11" defaultRowHeight="15.6" x14ac:dyDescent="0.3"/>
  <cols>
    <col min="1" max="1" width="31.59765625" style="1" customWidth="1"/>
    <col min="2" max="2" width="12.8984375" style="14" customWidth="1"/>
    <col min="3" max="4" width="11" style="14"/>
    <col min="5" max="5" width="13" style="14" bestFit="1" customWidth="1"/>
    <col min="6" max="13" width="11" style="60"/>
    <col min="14" max="16384" width="11" style="1"/>
  </cols>
  <sheetData>
    <row r="1" spans="1:13" x14ac:dyDescent="0.3">
      <c r="A1" s="5" t="s">
        <v>48</v>
      </c>
      <c r="B1" s="61" t="s">
        <v>19</v>
      </c>
      <c r="C1" s="61" t="s">
        <v>20</v>
      </c>
      <c r="D1" s="61" t="s">
        <v>21</v>
      </c>
      <c r="E1" s="61" t="s">
        <v>22</v>
      </c>
      <c r="F1" s="64" t="s">
        <v>23</v>
      </c>
      <c r="G1" s="64" t="s">
        <v>24</v>
      </c>
      <c r="H1" s="64" t="s">
        <v>25</v>
      </c>
      <c r="I1" s="64" t="s">
        <v>26</v>
      </c>
      <c r="J1" s="64" t="s">
        <v>27</v>
      </c>
      <c r="K1" s="64" t="s">
        <v>28</v>
      </c>
      <c r="L1" s="64" t="s">
        <v>29</v>
      </c>
      <c r="M1" s="64" t="s">
        <v>30</v>
      </c>
    </row>
    <row r="2" spans="1:13" x14ac:dyDescent="0.3">
      <c r="A2" s="16" t="s">
        <v>70</v>
      </c>
      <c r="B2" s="25">
        <f>Jan!$M5</f>
        <v>0</v>
      </c>
      <c r="C2" s="25">
        <f>Feb!$M5</f>
        <v>132.97000000000025</v>
      </c>
      <c r="D2" s="25">
        <f>Mar!$M5</f>
        <v>355.52000000000044</v>
      </c>
      <c r="E2" s="25">
        <f>Apr!$M5</f>
        <v>355.52000000000044</v>
      </c>
      <c r="F2" s="59"/>
      <c r="G2" s="59"/>
      <c r="H2" s="59"/>
      <c r="I2" s="59"/>
      <c r="J2" s="59"/>
      <c r="K2" s="59"/>
      <c r="L2" s="59"/>
      <c r="M2" s="59"/>
    </row>
    <row r="3" spans="1:13" x14ac:dyDescent="0.3">
      <c r="A3" s="6" t="s">
        <v>3</v>
      </c>
      <c r="B3" s="14">
        <f>Jan!$C4</f>
        <v>3700</v>
      </c>
      <c r="C3" s="14">
        <f>Feb!$C4</f>
        <v>3850</v>
      </c>
      <c r="D3" s="14">
        <f>Mar!$C4</f>
        <v>0</v>
      </c>
      <c r="E3" s="14">
        <f>Apr!$C4</f>
        <v>0</v>
      </c>
    </row>
    <row r="4" spans="1:13" x14ac:dyDescent="0.3">
      <c r="A4" s="28" t="s">
        <v>73</v>
      </c>
      <c r="B4" s="14">
        <f>Jan!$C7</f>
        <v>350</v>
      </c>
      <c r="C4" s="14">
        <f>Feb!$C7</f>
        <v>350</v>
      </c>
      <c r="D4" s="14">
        <f>Mar!$C7</f>
        <v>0</v>
      </c>
      <c r="E4" s="14">
        <f>Apr!$C7</f>
        <v>0</v>
      </c>
    </row>
    <row r="5" spans="1:13" x14ac:dyDescent="0.3">
      <c r="A5" s="28" t="s">
        <v>74</v>
      </c>
      <c r="B5" s="14">
        <f>Jan!$C8</f>
        <v>125.9</v>
      </c>
      <c r="C5" s="14">
        <f>Feb!$C8</f>
        <v>125.9</v>
      </c>
      <c r="D5" s="14">
        <f>Mar!$C8</f>
        <v>0</v>
      </c>
      <c r="E5" s="14">
        <f>Apr!$C8</f>
        <v>0</v>
      </c>
    </row>
    <row r="6" spans="1:13" x14ac:dyDescent="0.3">
      <c r="A6" s="28" t="s">
        <v>52</v>
      </c>
      <c r="B6" s="14">
        <f>Jan!$C9</f>
        <v>49.88</v>
      </c>
      <c r="C6" s="14">
        <f>Feb!$C9</f>
        <v>51.7</v>
      </c>
      <c r="D6" s="14">
        <f>Mar!$C9</f>
        <v>0</v>
      </c>
      <c r="E6" s="14">
        <f>Apr!$C9</f>
        <v>0</v>
      </c>
    </row>
    <row r="7" spans="1:13" x14ac:dyDescent="0.3">
      <c r="A7" s="28" t="s">
        <v>75</v>
      </c>
      <c r="B7" s="14">
        <f>Jan!$C10</f>
        <v>67.3</v>
      </c>
      <c r="C7" s="14">
        <f>Feb!$C10</f>
        <v>54.6</v>
      </c>
      <c r="D7" s="14">
        <f>Mar!$C10</f>
        <v>0</v>
      </c>
      <c r="E7" s="14">
        <f>Apr!$C10</f>
        <v>0</v>
      </c>
    </row>
    <row r="8" spans="1:13" x14ac:dyDescent="0.3">
      <c r="A8" s="28" t="s">
        <v>76</v>
      </c>
      <c r="B8" s="14">
        <f>Jan!$C11</f>
        <v>4.95</v>
      </c>
      <c r="C8" s="14">
        <f>Feb!$C11</f>
        <v>5.0999999999999996</v>
      </c>
      <c r="D8" s="14">
        <f>Mar!$C11</f>
        <v>0</v>
      </c>
      <c r="E8" s="14">
        <f>Apr!$C11</f>
        <v>0</v>
      </c>
    </row>
    <row r="9" spans="1:13" x14ac:dyDescent="0.3">
      <c r="A9" s="28" t="s">
        <v>77</v>
      </c>
      <c r="B9" s="14">
        <f>Jan!$C12</f>
        <v>30</v>
      </c>
      <c r="C9" s="14">
        <f>Feb!$C12</f>
        <v>0</v>
      </c>
      <c r="D9" s="14">
        <f>Mar!$C12</f>
        <v>0</v>
      </c>
      <c r="E9" s="14">
        <f>Apr!$C12</f>
        <v>0</v>
      </c>
    </row>
    <row r="10" spans="1:13" x14ac:dyDescent="0.3">
      <c r="A10" s="28" t="s">
        <v>78</v>
      </c>
      <c r="B10" s="14">
        <f>Jan!$C13</f>
        <v>12.5</v>
      </c>
      <c r="C10" s="14">
        <f>Feb!$C13</f>
        <v>2.5</v>
      </c>
      <c r="D10" s="14">
        <f>Mar!$C13</f>
        <v>0</v>
      </c>
      <c r="E10" s="14">
        <f>Apr!$C13</f>
        <v>0</v>
      </c>
    </row>
    <row r="11" spans="1:13" x14ac:dyDescent="0.3">
      <c r="A11" s="28" t="s">
        <v>79</v>
      </c>
      <c r="B11" s="14">
        <f>Jan!$C17</f>
        <v>12</v>
      </c>
      <c r="C11" s="14">
        <f>Feb!$C17</f>
        <v>8.75</v>
      </c>
      <c r="D11" s="14">
        <f>Mar!$C17</f>
        <v>0</v>
      </c>
      <c r="E11" s="14">
        <f>Apr!$C17</f>
        <v>0</v>
      </c>
    </row>
    <row r="12" spans="1:13" x14ac:dyDescent="0.3">
      <c r="A12" s="28" t="s">
        <v>80</v>
      </c>
      <c r="B12" s="14">
        <f>Jan!$C18</f>
        <v>159</v>
      </c>
      <c r="C12" s="14">
        <f>Feb!$C18</f>
        <v>198.2</v>
      </c>
      <c r="D12" s="14">
        <f>Mar!$C18</f>
        <v>0</v>
      </c>
      <c r="E12" s="14">
        <f>Apr!$C18</f>
        <v>0</v>
      </c>
    </row>
    <row r="13" spans="1:13" x14ac:dyDescent="0.3">
      <c r="A13" s="28" t="s">
        <v>81</v>
      </c>
      <c r="B13" s="14">
        <f>Jan!$C19</f>
        <v>70</v>
      </c>
      <c r="C13" s="14">
        <f>Feb!$C19</f>
        <v>70</v>
      </c>
      <c r="D13" s="14">
        <f>Mar!$C19</f>
        <v>0</v>
      </c>
      <c r="E13" s="14">
        <f>Apr!$C19</f>
        <v>0</v>
      </c>
    </row>
    <row r="14" spans="1:13" x14ac:dyDescent="0.3">
      <c r="A14" s="28" t="s">
        <v>82</v>
      </c>
      <c r="B14" s="14">
        <f>Jan!$C20</f>
        <v>78.400000000000006</v>
      </c>
      <c r="C14" s="14">
        <f>Feb!$C20</f>
        <v>150</v>
      </c>
      <c r="D14" s="14">
        <f>Mar!$C20</f>
        <v>0</v>
      </c>
      <c r="E14" s="14">
        <f>Apr!$C20</f>
        <v>0</v>
      </c>
    </row>
    <row r="15" spans="1:13" x14ac:dyDescent="0.3">
      <c r="A15" s="28" t="s">
        <v>83</v>
      </c>
      <c r="B15" s="14">
        <f>Jan!$C24</f>
        <v>450</v>
      </c>
      <c r="C15" s="14">
        <f>Feb!$C24</f>
        <v>365.9</v>
      </c>
      <c r="D15" s="14">
        <f>Mar!$C24</f>
        <v>0</v>
      </c>
      <c r="E15" s="14">
        <f>Apr!$C24</f>
        <v>0</v>
      </c>
    </row>
    <row r="16" spans="1:13" x14ac:dyDescent="0.3">
      <c r="A16" s="28" t="s">
        <v>84</v>
      </c>
      <c r="B16" s="14">
        <f>Jan!$C25</f>
        <v>979.6</v>
      </c>
      <c r="C16" s="14">
        <f>Feb!$C25</f>
        <v>1194</v>
      </c>
      <c r="D16" s="14">
        <f>Mar!$C25</f>
        <v>0</v>
      </c>
      <c r="E16" s="14">
        <f>Apr!$C25</f>
        <v>0</v>
      </c>
    </row>
    <row r="17" spans="1:5" x14ac:dyDescent="0.3">
      <c r="A17" s="28" t="s">
        <v>51</v>
      </c>
      <c r="B17" s="14">
        <f>Jan!$H7</f>
        <v>5</v>
      </c>
      <c r="C17" s="14">
        <f>Feb!$H7</f>
        <v>15</v>
      </c>
      <c r="D17" s="14">
        <f>Mar!$H7</f>
        <v>0</v>
      </c>
      <c r="E17" s="14">
        <f>Apr!$H7</f>
        <v>0</v>
      </c>
    </row>
    <row r="18" spans="1:5" x14ac:dyDescent="0.3">
      <c r="A18" s="28" t="s">
        <v>50</v>
      </c>
      <c r="B18" s="14">
        <f>Jan!$H8</f>
        <v>35.9</v>
      </c>
      <c r="C18" s="14">
        <f>Feb!$H8</f>
        <v>23.2</v>
      </c>
      <c r="D18" s="14">
        <f>Mar!$H8</f>
        <v>0</v>
      </c>
      <c r="E18" s="14">
        <f>Apr!$H8</f>
        <v>0</v>
      </c>
    </row>
    <row r="19" spans="1:5" x14ac:dyDescent="0.3">
      <c r="A19" s="28" t="s">
        <v>61</v>
      </c>
      <c r="B19" s="14">
        <f>Jan!$H9</f>
        <v>0</v>
      </c>
      <c r="C19" s="14">
        <f>Feb!$H9</f>
        <v>30</v>
      </c>
      <c r="D19" s="14">
        <f>Mar!$H9</f>
        <v>0</v>
      </c>
      <c r="E19" s="14">
        <f>Apr!$H9</f>
        <v>0</v>
      </c>
    </row>
    <row r="20" spans="1:5" x14ac:dyDescent="0.3">
      <c r="A20" s="28" t="s">
        <v>85</v>
      </c>
      <c r="B20" s="14">
        <f>Jan!$H13</f>
        <v>0</v>
      </c>
      <c r="C20" s="14">
        <f>Feb!$H13</f>
        <v>0</v>
      </c>
      <c r="D20" s="14">
        <f>Mar!$H13</f>
        <v>0</v>
      </c>
      <c r="E20" s="14">
        <f>Apr!$H13</f>
        <v>0</v>
      </c>
    </row>
    <row r="21" spans="1:5" x14ac:dyDescent="0.3">
      <c r="A21" s="28" t="s">
        <v>62</v>
      </c>
      <c r="B21" s="14">
        <f>Jan!$H14</f>
        <v>0</v>
      </c>
      <c r="C21" s="14">
        <f>Feb!$H14</f>
        <v>0</v>
      </c>
      <c r="D21" s="14">
        <f>Mar!$H14</f>
        <v>0</v>
      </c>
      <c r="E21" s="14">
        <f>Apr!$H14</f>
        <v>0</v>
      </c>
    </row>
    <row r="22" spans="1:5" x14ac:dyDescent="0.3">
      <c r="A22" s="28" t="s">
        <v>86</v>
      </c>
      <c r="B22" s="14">
        <f>Jan!$H15</f>
        <v>106</v>
      </c>
      <c r="C22" s="14">
        <f>Feb!$H15</f>
        <v>57.8</v>
      </c>
      <c r="D22" s="14">
        <f>Mar!$H15</f>
        <v>0</v>
      </c>
      <c r="E22" s="14">
        <f>Apr!$H15</f>
        <v>0</v>
      </c>
    </row>
    <row r="23" spans="1:5" x14ac:dyDescent="0.3">
      <c r="A23" s="28" t="s">
        <v>58</v>
      </c>
      <c r="B23" s="14">
        <f>Jan!$H19</f>
        <v>78</v>
      </c>
      <c r="C23" s="14">
        <f>Feb!$H19</f>
        <v>0</v>
      </c>
      <c r="D23" s="14">
        <f>Mar!$H19</f>
        <v>0</v>
      </c>
      <c r="E23" s="14">
        <f>Apr!$H19</f>
        <v>0</v>
      </c>
    </row>
    <row r="24" spans="1:5" x14ac:dyDescent="0.3">
      <c r="A24" s="28" t="s">
        <v>59</v>
      </c>
      <c r="B24" s="14">
        <f>Jan!$H20</f>
        <v>0</v>
      </c>
      <c r="C24" s="14">
        <f>Feb!$H20</f>
        <v>0</v>
      </c>
      <c r="D24" s="14">
        <f>Mar!$H20</f>
        <v>0</v>
      </c>
      <c r="E24" s="14">
        <f>Apr!$H20</f>
        <v>0</v>
      </c>
    </row>
    <row r="25" spans="1:5" x14ac:dyDescent="0.3">
      <c r="A25" s="28" t="s">
        <v>64</v>
      </c>
      <c r="B25" s="14">
        <f>Jan!$H24</f>
        <v>400</v>
      </c>
      <c r="C25" s="14">
        <f>Feb!$H24</f>
        <v>400</v>
      </c>
      <c r="D25" s="14">
        <f>Mar!$H24</f>
        <v>0</v>
      </c>
      <c r="E25" s="14">
        <f>Apr!$H24</f>
        <v>0</v>
      </c>
    </row>
    <row r="26" spans="1:5" x14ac:dyDescent="0.3">
      <c r="A26" s="28" t="s">
        <v>54</v>
      </c>
      <c r="B26" s="14">
        <f>Jan!$H25</f>
        <v>45</v>
      </c>
      <c r="C26" s="14">
        <f>Feb!$H25</f>
        <v>20</v>
      </c>
      <c r="D26" s="14">
        <f>Mar!$H25</f>
        <v>0</v>
      </c>
      <c r="E26" s="14">
        <f>Apr!$H25</f>
        <v>0</v>
      </c>
    </row>
    <row r="27" spans="1:5" x14ac:dyDescent="0.3">
      <c r="A27" s="28" t="s">
        <v>55</v>
      </c>
      <c r="B27" s="14">
        <f>Jan!$H26</f>
        <v>70.900000000000006</v>
      </c>
      <c r="C27" s="14">
        <f>Feb!$H26</f>
        <v>67.8</v>
      </c>
      <c r="D27" s="14">
        <f>Mar!$H26</f>
        <v>0</v>
      </c>
      <c r="E27" s="14">
        <f>Apr!$H26</f>
        <v>0</v>
      </c>
    </row>
    <row r="28" spans="1:5" x14ac:dyDescent="0.3">
      <c r="A28" s="28" t="s">
        <v>56</v>
      </c>
      <c r="B28" s="14">
        <f>Jan!$H27</f>
        <v>21.2</v>
      </c>
      <c r="C28" s="14">
        <f>Feb!$H27</f>
        <v>0</v>
      </c>
      <c r="D28" s="14">
        <f>Mar!$H27</f>
        <v>0</v>
      </c>
      <c r="E28" s="14">
        <f>Apr!$H27</f>
        <v>0</v>
      </c>
    </row>
    <row r="29" spans="1:5" x14ac:dyDescent="0.3">
      <c r="A29" s="28" t="s">
        <v>57</v>
      </c>
      <c r="B29" s="14">
        <f>Jan!$H28</f>
        <v>45.5</v>
      </c>
      <c r="C29" s="14">
        <f>Feb!$H28</f>
        <v>67</v>
      </c>
      <c r="D29" s="14">
        <f>Mar!$H28</f>
        <v>0</v>
      </c>
      <c r="E29" s="14">
        <f>Apr!$H28</f>
        <v>0</v>
      </c>
    </row>
    <row r="30" spans="1:5" x14ac:dyDescent="0.3">
      <c r="A30" t="s">
        <v>16</v>
      </c>
      <c r="B30" s="14">
        <f>Jan!$H32</f>
        <v>370</v>
      </c>
      <c r="C30" s="14">
        <f>Feb!$H32</f>
        <v>370</v>
      </c>
      <c r="D30" s="14">
        <f>Mar!$H32</f>
        <v>0</v>
      </c>
      <c r="E30" s="14">
        <f>Apr!$H32</f>
        <v>0</v>
      </c>
    </row>
    <row r="31" spans="1:5" x14ac:dyDescent="0.3">
      <c r="A31" s="74"/>
      <c r="B31" s="74"/>
      <c r="C31" s="74"/>
      <c r="D31" s="74"/>
      <c r="E31" s="74"/>
    </row>
    <row r="32" spans="1:5" x14ac:dyDescent="0.3">
      <c r="A32" s="8" t="s">
        <v>9</v>
      </c>
      <c r="B32" s="14">
        <f>Jan!$C14</f>
        <v>640.53</v>
      </c>
      <c r="C32" s="14">
        <f>Feb!$C14</f>
        <v>589.80000000000007</v>
      </c>
      <c r="D32" s="14">
        <f>Mar!$C14</f>
        <v>0</v>
      </c>
      <c r="E32" s="14">
        <f>Apr!$C14</f>
        <v>0</v>
      </c>
    </row>
    <row r="33" spans="1:13" x14ac:dyDescent="0.3">
      <c r="A33" s="8" t="s">
        <v>10</v>
      </c>
      <c r="B33" s="14">
        <f>Jan!$C21</f>
        <v>319.39999999999998</v>
      </c>
      <c r="C33" s="14">
        <f>Feb!$C21</f>
        <v>426.95</v>
      </c>
      <c r="D33" s="14">
        <f>Mar!$C21</f>
        <v>0</v>
      </c>
      <c r="E33" s="14">
        <f>Apr!$C21</f>
        <v>0</v>
      </c>
    </row>
    <row r="34" spans="1:13" x14ac:dyDescent="0.3">
      <c r="A34" s="8" t="s">
        <v>11</v>
      </c>
      <c r="B34" s="14">
        <f>Jan!$C26</f>
        <v>1429.6</v>
      </c>
      <c r="C34" s="14">
        <f>Feb!$C26</f>
        <v>1559.9</v>
      </c>
      <c r="D34" s="14">
        <f>Mar!$C26</f>
        <v>0</v>
      </c>
      <c r="E34" s="14">
        <f>Apr!$C26</f>
        <v>0</v>
      </c>
    </row>
    <row r="35" spans="1:13" x14ac:dyDescent="0.3">
      <c r="A35" s="8" t="s">
        <v>13</v>
      </c>
      <c r="B35" s="14">
        <f>Jan!$H10</f>
        <v>40.9</v>
      </c>
      <c r="C35" s="14">
        <f>Feb!$H10</f>
        <v>68.2</v>
      </c>
      <c r="D35" s="14">
        <f>Mar!$H10</f>
        <v>0</v>
      </c>
      <c r="E35" s="14">
        <f>Apr!$H10</f>
        <v>0</v>
      </c>
    </row>
    <row r="36" spans="1:13" x14ac:dyDescent="0.3">
      <c r="A36" s="8" t="s">
        <v>15</v>
      </c>
      <c r="B36" s="14">
        <f>Jan!$H16</f>
        <v>106</v>
      </c>
      <c r="C36" s="14">
        <f>Feb!$H16</f>
        <v>57.8</v>
      </c>
      <c r="D36" s="14">
        <f>Mar!$H16</f>
        <v>0</v>
      </c>
      <c r="E36" s="14">
        <f>Apr!$H16</f>
        <v>0</v>
      </c>
    </row>
    <row r="37" spans="1:13" x14ac:dyDescent="0.3">
      <c r="A37" s="8" t="s">
        <v>31</v>
      </c>
      <c r="B37" s="14">
        <f>Jan!$H21</f>
        <v>78</v>
      </c>
      <c r="C37" s="14">
        <f>Feb!$H21</f>
        <v>0</v>
      </c>
      <c r="D37" s="14">
        <f>Mar!$H21</f>
        <v>0</v>
      </c>
      <c r="E37" s="14">
        <f>Apr!$H21</f>
        <v>0</v>
      </c>
    </row>
    <row r="38" spans="1:13" x14ac:dyDescent="0.3">
      <c r="A38" s="8" t="s">
        <v>32</v>
      </c>
      <c r="B38" s="14">
        <f>Jan!$H29</f>
        <v>582.6</v>
      </c>
      <c r="C38" s="14">
        <f>Feb!$H29</f>
        <v>554.79999999999995</v>
      </c>
      <c r="D38" s="14">
        <f>Mar!$H29</f>
        <v>0</v>
      </c>
      <c r="E38" s="14">
        <f>Apr!$H29</f>
        <v>0</v>
      </c>
    </row>
    <row r="39" spans="1:13" x14ac:dyDescent="0.3">
      <c r="A39" s="8" t="s">
        <v>33</v>
      </c>
      <c r="B39" s="14">
        <f>Jan!$H32</f>
        <v>370</v>
      </c>
      <c r="C39" s="14">
        <f>Feb!$H32</f>
        <v>370</v>
      </c>
      <c r="D39" s="14">
        <f>Mar!$H32</f>
        <v>0</v>
      </c>
      <c r="E39" s="14">
        <f>Apr!$H32</f>
        <v>0</v>
      </c>
    </row>
    <row r="40" spans="1:13" x14ac:dyDescent="0.3">
      <c r="A40" s="3"/>
    </row>
    <row r="41" spans="1:13" x14ac:dyDescent="0.3">
      <c r="A41" s="3" t="s">
        <v>70</v>
      </c>
      <c r="B41" s="14">
        <f>Jan!$M5</f>
        <v>0</v>
      </c>
      <c r="C41" s="14">
        <f>Feb!$M5</f>
        <v>132.97000000000025</v>
      </c>
      <c r="D41" s="14">
        <f>Mar!$M5</f>
        <v>355.52000000000044</v>
      </c>
      <c r="E41" s="14">
        <f>Apr!$M5</f>
        <v>355.52000000000044</v>
      </c>
    </row>
    <row r="42" spans="1:13" x14ac:dyDescent="0.3">
      <c r="A42" s="3" t="s">
        <v>40</v>
      </c>
      <c r="B42" s="14">
        <f>B3</f>
        <v>3700</v>
      </c>
      <c r="C42" s="14">
        <f>C3</f>
        <v>3850</v>
      </c>
      <c r="D42" s="14">
        <f t="shared" ref="D42:E42" si="0">D3</f>
        <v>0</v>
      </c>
      <c r="E42" s="14">
        <f t="shared" si="0"/>
        <v>0</v>
      </c>
    </row>
    <row r="43" spans="1:13" x14ac:dyDescent="0.3">
      <c r="A43" s="3" t="s">
        <v>41</v>
      </c>
      <c r="B43" s="14">
        <f>SUM(B32:B39)</f>
        <v>3567.0299999999997</v>
      </c>
      <c r="C43" s="14">
        <f>SUM(C32:C39)</f>
        <v>3627.45</v>
      </c>
      <c r="D43" s="14">
        <f t="shared" ref="D43:E43" si="1">SUM(D32:D39)</f>
        <v>0</v>
      </c>
      <c r="E43" s="14">
        <f t="shared" si="1"/>
        <v>0</v>
      </c>
    </row>
    <row r="44" spans="1:13" x14ac:dyDescent="0.3">
      <c r="A44" s="3" t="s">
        <v>34</v>
      </c>
      <c r="B44" s="14">
        <f>B42-B43</f>
        <v>132.97000000000025</v>
      </c>
      <c r="C44" s="14">
        <f>C41+C42-C43</f>
        <v>355.52000000000044</v>
      </c>
      <c r="D44" s="14">
        <f t="shared" ref="D44:E44" si="2">D41+D42-D43</f>
        <v>355.52000000000044</v>
      </c>
      <c r="E44" s="14">
        <f t="shared" si="2"/>
        <v>355.52000000000044</v>
      </c>
    </row>
    <row r="45" spans="1:13" x14ac:dyDescent="0.3">
      <c r="A45" s="75"/>
      <c r="B45" s="75"/>
      <c r="C45" s="75"/>
      <c r="D45" s="75"/>
      <c r="E45" s="75"/>
    </row>
    <row r="46" spans="1:13" x14ac:dyDescent="0.3">
      <c r="A46" s="8" t="s">
        <v>65</v>
      </c>
      <c r="B46" s="25" t="s">
        <v>19</v>
      </c>
      <c r="C46" s="25" t="s">
        <v>20</v>
      </c>
      <c r="D46" s="25" t="s">
        <v>21</v>
      </c>
      <c r="E46" s="25" t="s">
        <v>22</v>
      </c>
      <c r="F46" s="59" t="s">
        <v>23</v>
      </c>
      <c r="G46" s="59" t="s">
        <v>24</v>
      </c>
      <c r="H46" s="59" t="s">
        <v>25</v>
      </c>
      <c r="I46" s="59" t="s">
        <v>26</v>
      </c>
      <c r="J46" s="59" t="s">
        <v>27</v>
      </c>
      <c r="K46" s="59" t="s">
        <v>28</v>
      </c>
      <c r="L46" s="59" t="s">
        <v>29</v>
      </c>
      <c r="M46" s="59" t="s">
        <v>30</v>
      </c>
    </row>
    <row r="47" spans="1:13" x14ac:dyDescent="0.3">
      <c r="A47" s="28" t="s">
        <v>73</v>
      </c>
      <c r="B47" s="14">
        <f>Jan!$D7</f>
        <v>0</v>
      </c>
      <c r="C47" s="14">
        <f>Feb!$D7</f>
        <v>0</v>
      </c>
      <c r="D47" s="14">
        <f>Mar!$D7</f>
        <v>350</v>
      </c>
      <c r="E47" s="14">
        <f>Apr!$D7</f>
        <v>350</v>
      </c>
    </row>
    <row r="48" spans="1:13" x14ac:dyDescent="0.3">
      <c r="A48" s="28" t="s">
        <v>74</v>
      </c>
      <c r="B48" s="14">
        <f>Jan!$D8</f>
        <v>4.0999999999999943</v>
      </c>
      <c r="C48" s="14">
        <f>Feb!$D8</f>
        <v>4.0999999999999943</v>
      </c>
      <c r="D48" s="14">
        <f>Mar!$D8</f>
        <v>130</v>
      </c>
      <c r="E48" s="14">
        <f>Apr!$D8</f>
        <v>130</v>
      </c>
    </row>
    <row r="49" spans="1:5" x14ac:dyDescent="0.3">
      <c r="A49" s="28" t="s">
        <v>52</v>
      </c>
      <c r="B49" s="14">
        <f>Jan!$D9</f>
        <v>0.11999999999999744</v>
      </c>
      <c r="C49" s="14">
        <f>Feb!$D9</f>
        <v>-1.7000000000000028</v>
      </c>
      <c r="D49" s="14">
        <f>Mar!$D9</f>
        <v>50</v>
      </c>
      <c r="E49" s="14">
        <f>Apr!$D9</f>
        <v>50</v>
      </c>
    </row>
    <row r="50" spans="1:5" x14ac:dyDescent="0.3">
      <c r="A50" s="28" t="s">
        <v>75</v>
      </c>
      <c r="B50" s="14">
        <f>Jan!$D10</f>
        <v>-17.299999999999997</v>
      </c>
      <c r="C50" s="14">
        <f>Feb!$D10</f>
        <v>-4.6000000000000014</v>
      </c>
      <c r="D50" s="14">
        <f>Mar!$D10</f>
        <v>50</v>
      </c>
      <c r="E50" s="14">
        <f>Apr!$D10</f>
        <v>50</v>
      </c>
    </row>
    <row r="51" spans="1:5" x14ac:dyDescent="0.3">
      <c r="A51" s="28" t="s">
        <v>76</v>
      </c>
      <c r="B51" s="14">
        <f>Jan!$D11</f>
        <v>4.9999999999999822E-2</v>
      </c>
      <c r="C51" s="14">
        <f>Feb!$D11</f>
        <v>-9.9999999999999645E-2</v>
      </c>
      <c r="D51" s="14">
        <f>Mar!$D11</f>
        <v>5</v>
      </c>
      <c r="E51" s="14">
        <f>Apr!$D11</f>
        <v>5</v>
      </c>
    </row>
    <row r="52" spans="1:5" x14ac:dyDescent="0.3">
      <c r="A52" s="28" t="s">
        <v>77</v>
      </c>
      <c r="B52" s="14">
        <f>Jan!$D12</f>
        <v>120</v>
      </c>
      <c r="C52" s="14">
        <f>Feb!$D12</f>
        <v>150</v>
      </c>
      <c r="D52" s="14">
        <f>Mar!$D12</f>
        <v>150</v>
      </c>
      <c r="E52" s="14">
        <f>Apr!$D12</f>
        <v>150</v>
      </c>
    </row>
    <row r="53" spans="1:5" x14ac:dyDescent="0.3">
      <c r="A53" s="28" t="s">
        <v>78</v>
      </c>
      <c r="B53" s="14">
        <f>Jan!$D13</f>
        <v>27.5</v>
      </c>
      <c r="C53" s="14">
        <f>Feb!$D13</f>
        <v>37.5</v>
      </c>
      <c r="D53" s="14">
        <f>Mar!$D13</f>
        <v>40</v>
      </c>
      <c r="E53" s="14">
        <f>Apr!$D13</f>
        <v>40</v>
      </c>
    </row>
    <row r="54" spans="1:5" x14ac:dyDescent="0.3">
      <c r="A54" s="28" t="s">
        <v>79</v>
      </c>
      <c r="B54" s="14">
        <f>Jan!$D17</f>
        <v>38</v>
      </c>
      <c r="C54" s="14">
        <f>Feb!$D17</f>
        <v>41.25</v>
      </c>
      <c r="D54" s="14">
        <f>Mar!$D17</f>
        <v>50</v>
      </c>
      <c r="E54" s="14">
        <f>Apr!$D17</f>
        <v>50</v>
      </c>
    </row>
    <row r="55" spans="1:5" x14ac:dyDescent="0.3">
      <c r="A55" s="28" t="s">
        <v>80</v>
      </c>
      <c r="B55" s="14">
        <f>Jan!$D18</f>
        <v>41</v>
      </c>
      <c r="C55" s="14">
        <f>Feb!$D18</f>
        <v>1.8000000000000114</v>
      </c>
      <c r="D55" s="14">
        <f>Mar!$D18</f>
        <v>200</v>
      </c>
      <c r="E55" s="14">
        <f>Apr!$D18</f>
        <v>200</v>
      </c>
    </row>
    <row r="56" spans="1:5" x14ac:dyDescent="0.3">
      <c r="A56" s="28" t="s">
        <v>81</v>
      </c>
      <c r="B56" s="14">
        <f>Jan!$D19</f>
        <v>0</v>
      </c>
      <c r="C56" s="14">
        <f>Feb!$D19</f>
        <v>0</v>
      </c>
      <c r="D56" s="14">
        <f>Mar!$D19</f>
        <v>70</v>
      </c>
      <c r="E56" s="14">
        <f>Apr!$D19</f>
        <v>70</v>
      </c>
    </row>
    <row r="57" spans="1:5" x14ac:dyDescent="0.3">
      <c r="A57" s="28" t="s">
        <v>82</v>
      </c>
      <c r="B57" s="14">
        <f>Jan!$D20</f>
        <v>221.6</v>
      </c>
      <c r="C57" s="14">
        <f>Feb!$D20</f>
        <v>150</v>
      </c>
      <c r="D57" s="14">
        <f>Mar!$D20</f>
        <v>300</v>
      </c>
      <c r="E57" s="14">
        <f>Apr!$D20</f>
        <v>300</v>
      </c>
    </row>
    <row r="58" spans="1:5" x14ac:dyDescent="0.3">
      <c r="A58" s="28" t="s">
        <v>83</v>
      </c>
      <c r="B58" s="14">
        <f>Jan!$D24</f>
        <v>-250</v>
      </c>
      <c r="C58" s="14">
        <f>Feb!$D24</f>
        <v>-165.89999999999998</v>
      </c>
      <c r="D58" s="14">
        <f>Mar!$D24</f>
        <v>200</v>
      </c>
      <c r="E58" s="14">
        <f>Apr!$D24</f>
        <v>200</v>
      </c>
    </row>
    <row r="59" spans="1:5" x14ac:dyDescent="0.3">
      <c r="A59" s="28" t="s">
        <v>84</v>
      </c>
      <c r="B59" s="14">
        <f>Jan!$D25</f>
        <v>20.399999999999977</v>
      </c>
      <c r="C59" s="14">
        <f>Feb!$D25</f>
        <v>-194</v>
      </c>
      <c r="D59" s="14">
        <f>Mar!$D25</f>
        <v>1000</v>
      </c>
      <c r="E59" s="14">
        <f>Apr!$D25</f>
        <v>1000</v>
      </c>
    </row>
    <row r="60" spans="1:5" x14ac:dyDescent="0.3">
      <c r="A60" s="28" t="s">
        <v>51</v>
      </c>
      <c r="B60" s="14">
        <f>Jan!$I7</f>
        <v>15</v>
      </c>
      <c r="C60" s="14">
        <f>Feb!$I7</f>
        <v>5</v>
      </c>
      <c r="D60" s="14">
        <f>Mar!$I7</f>
        <v>20</v>
      </c>
      <c r="E60" s="14">
        <f>Apr!$I7</f>
        <v>20</v>
      </c>
    </row>
    <row r="61" spans="1:5" x14ac:dyDescent="0.3">
      <c r="A61" s="28" t="s">
        <v>50</v>
      </c>
      <c r="B61" s="14">
        <f>Jan!$I8</f>
        <v>-0.89999999999999858</v>
      </c>
      <c r="C61" s="14">
        <f>Feb!$I8</f>
        <v>11.8</v>
      </c>
      <c r="D61" s="14">
        <f>Mar!$I8</f>
        <v>35</v>
      </c>
      <c r="E61" s="14">
        <f>Apr!$I8</f>
        <v>35</v>
      </c>
    </row>
    <row r="62" spans="1:5" x14ac:dyDescent="0.3">
      <c r="A62" s="28" t="s">
        <v>61</v>
      </c>
      <c r="B62" s="14">
        <f>Jan!$I9</f>
        <v>70</v>
      </c>
      <c r="C62" s="14">
        <f>Feb!$I9</f>
        <v>40</v>
      </c>
      <c r="D62" s="14">
        <f>Mar!$I9</f>
        <v>70</v>
      </c>
      <c r="E62" s="14">
        <f>Apr!$I9</f>
        <v>70</v>
      </c>
    </row>
    <row r="63" spans="1:5" x14ac:dyDescent="0.3">
      <c r="A63" s="28" t="s">
        <v>85</v>
      </c>
      <c r="B63" s="14">
        <f>Jan!$I13</f>
        <v>0</v>
      </c>
      <c r="C63" s="14">
        <f>Feb!$I13</f>
        <v>0</v>
      </c>
      <c r="D63" s="14">
        <f>Mar!$I13</f>
        <v>0</v>
      </c>
      <c r="E63" s="14">
        <f>Apr!$I13</f>
        <v>0</v>
      </c>
    </row>
    <row r="64" spans="1:5" x14ac:dyDescent="0.3">
      <c r="A64" s="28" t="s">
        <v>62</v>
      </c>
      <c r="B64" s="14">
        <f>Jan!$I14</f>
        <v>0</v>
      </c>
      <c r="C64" s="14">
        <f>Feb!$I14</f>
        <v>0</v>
      </c>
      <c r="D64" s="14">
        <f>Mar!$I14</f>
        <v>0</v>
      </c>
      <c r="E64" s="14">
        <f>Apr!$I14</f>
        <v>0</v>
      </c>
    </row>
    <row r="65" spans="1:5" x14ac:dyDescent="0.3">
      <c r="A65" s="28" t="s">
        <v>86</v>
      </c>
      <c r="B65" s="14">
        <f>Jan!$I15</f>
        <v>44</v>
      </c>
      <c r="C65" s="14">
        <f>Feb!$I15</f>
        <v>92.2</v>
      </c>
      <c r="D65" s="14">
        <f>Mar!$I15</f>
        <v>150</v>
      </c>
      <c r="E65" s="14">
        <f>Apr!$I15</f>
        <v>150</v>
      </c>
    </row>
    <row r="66" spans="1:5" x14ac:dyDescent="0.3">
      <c r="A66" s="28" t="s">
        <v>58</v>
      </c>
      <c r="B66" s="14">
        <f>Jan!$I19</f>
        <v>-18</v>
      </c>
      <c r="C66" s="14">
        <f>Feb!$I19</f>
        <v>60</v>
      </c>
      <c r="D66" s="14">
        <f>Mar!$I19</f>
        <v>60</v>
      </c>
      <c r="E66" s="14">
        <f>Apr!$I19</f>
        <v>60</v>
      </c>
    </row>
    <row r="67" spans="1:5" x14ac:dyDescent="0.3">
      <c r="A67" s="28" t="s">
        <v>59</v>
      </c>
      <c r="B67" s="14">
        <f>Jan!$I20</f>
        <v>0</v>
      </c>
      <c r="C67" s="14">
        <f>Feb!$I20</f>
        <v>0</v>
      </c>
      <c r="D67" s="14">
        <f>Mar!$I20</f>
        <v>0</v>
      </c>
      <c r="E67" s="14">
        <f>Apr!$I20</f>
        <v>0</v>
      </c>
    </row>
    <row r="68" spans="1:5" x14ac:dyDescent="0.3">
      <c r="A68" s="28" t="s">
        <v>64</v>
      </c>
      <c r="B68" s="14">
        <f>Jan!$I24</f>
        <v>0</v>
      </c>
      <c r="C68" s="14">
        <f>Feb!$I24</f>
        <v>0</v>
      </c>
      <c r="D68" s="14">
        <f>Mar!$I24</f>
        <v>400</v>
      </c>
      <c r="E68" s="14">
        <f>Apr!$I24</f>
        <v>400</v>
      </c>
    </row>
    <row r="69" spans="1:5" x14ac:dyDescent="0.3">
      <c r="A69" s="28" t="s">
        <v>54</v>
      </c>
      <c r="B69" s="14">
        <f>Jan!$I25</f>
        <v>55</v>
      </c>
      <c r="C69" s="14">
        <f>Feb!$I25</f>
        <v>80</v>
      </c>
      <c r="D69" s="14">
        <f>Mar!$I25</f>
        <v>100</v>
      </c>
      <c r="E69" s="14">
        <f>Apr!$I25</f>
        <v>100</v>
      </c>
    </row>
    <row r="70" spans="1:5" x14ac:dyDescent="0.3">
      <c r="A70" s="28" t="s">
        <v>55</v>
      </c>
      <c r="B70" s="14">
        <f>Jan!$I26</f>
        <v>4.0999999999999943</v>
      </c>
      <c r="C70" s="14">
        <f>Feb!$I26</f>
        <v>7.2000000000000028</v>
      </c>
      <c r="D70" s="14">
        <f>Mar!$I26</f>
        <v>75</v>
      </c>
      <c r="E70" s="14">
        <f>Apr!$I26</f>
        <v>75</v>
      </c>
    </row>
    <row r="71" spans="1:5" x14ac:dyDescent="0.3">
      <c r="A71" s="28" t="s">
        <v>56</v>
      </c>
      <c r="B71" s="14">
        <f>Jan!$I27</f>
        <v>78.8</v>
      </c>
      <c r="C71" s="14">
        <f>Feb!$I27</f>
        <v>100</v>
      </c>
      <c r="D71" s="14">
        <f>Mar!$I27</f>
        <v>100</v>
      </c>
      <c r="E71" s="14">
        <f>Apr!$I27</f>
        <v>100</v>
      </c>
    </row>
    <row r="72" spans="1:5" x14ac:dyDescent="0.3">
      <c r="A72" s="28" t="s">
        <v>57</v>
      </c>
      <c r="B72" s="14">
        <f>Jan!$I28</f>
        <v>19.5</v>
      </c>
      <c r="C72" s="14">
        <f>Feb!$I28</f>
        <v>-2</v>
      </c>
      <c r="D72" s="14">
        <f>Mar!$I28</f>
        <v>65</v>
      </c>
      <c r="E72" s="14">
        <f>Apr!$I28</f>
        <v>65</v>
      </c>
    </row>
    <row r="73" spans="1:5" x14ac:dyDescent="0.3">
      <c r="A73" t="s">
        <v>16</v>
      </c>
      <c r="B73" s="14">
        <f>Jan!$I32</f>
        <v>0</v>
      </c>
      <c r="C73" s="14">
        <f>Feb!$I32</f>
        <v>15</v>
      </c>
      <c r="D73" s="14">
        <f>Mar!$I32</f>
        <v>0</v>
      </c>
      <c r="E73" s="14">
        <f>Apr!$I32</f>
        <v>0</v>
      </c>
    </row>
  </sheetData>
  <sheetProtection selectLockedCells="1"/>
  <mergeCells count="2">
    <mergeCell ref="A31:E31"/>
    <mergeCell ref="A45:E45"/>
  </mergeCells>
  <conditionalFormatting sqref="B1:E30 B32:E44 B46:E1048576">
    <cfRule type="cellIs" dxfId="2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4" tint="0.39997558519241921"/>
  </sheetPr>
  <dimension ref="A1:M43"/>
  <sheetViews>
    <sheetView zoomScale="90" zoomScaleNormal="90" zoomScalePageLayoutView="150" workbookViewId="0">
      <selection activeCell="A10" sqref="A10"/>
    </sheetView>
  </sheetViews>
  <sheetFormatPr defaultColWidth="11" defaultRowHeight="15.6" x14ac:dyDescent="0.3"/>
  <cols>
    <col min="1" max="1" width="34.69921875" style="1" bestFit="1" customWidth="1"/>
    <col min="2" max="2" width="12.8984375" style="14" customWidth="1"/>
    <col min="3" max="4" width="11" style="14"/>
    <col min="5" max="5" width="13" style="14" bestFit="1" customWidth="1"/>
    <col min="6" max="13" width="11" style="14"/>
    <col min="14" max="16384" width="11" style="1"/>
  </cols>
  <sheetData>
    <row r="1" spans="1:13" x14ac:dyDescent="0.3">
      <c r="A1" s="5" t="s">
        <v>49</v>
      </c>
      <c r="B1" s="25" t="s">
        <v>19</v>
      </c>
      <c r="C1" s="25" t="s">
        <v>20</v>
      </c>
      <c r="D1" s="25" t="s">
        <v>21</v>
      </c>
      <c r="E1" s="25" t="s">
        <v>22</v>
      </c>
      <c r="F1" s="59" t="s">
        <v>23</v>
      </c>
      <c r="G1" s="59" t="s">
        <v>24</v>
      </c>
      <c r="H1" s="59" t="s">
        <v>25</v>
      </c>
      <c r="I1" s="59" t="s">
        <v>26</v>
      </c>
      <c r="J1" s="59" t="s">
        <v>27</v>
      </c>
      <c r="K1" s="59" t="s">
        <v>28</v>
      </c>
      <c r="L1" s="59" t="s">
        <v>29</v>
      </c>
      <c r="M1" s="59" t="s">
        <v>30</v>
      </c>
    </row>
    <row r="2" spans="1:13" x14ac:dyDescent="0.3">
      <c r="A2" s="16" t="s">
        <v>70</v>
      </c>
      <c r="B2" s="25">
        <f>'MasterData (MTH)'!B2</f>
        <v>0</v>
      </c>
      <c r="C2" s="25">
        <f>'MasterData (MTH)'!C2</f>
        <v>132.97000000000025</v>
      </c>
      <c r="D2" s="25">
        <f>'MasterData (MTH)'!D2</f>
        <v>355.52000000000044</v>
      </c>
      <c r="E2" s="25">
        <f>'MasterData (MTH)'!E2</f>
        <v>355.52000000000044</v>
      </c>
      <c r="F2" s="59"/>
      <c r="G2" s="59"/>
      <c r="H2" s="59"/>
      <c r="I2" s="59"/>
      <c r="J2" s="59"/>
      <c r="K2" s="59"/>
      <c r="L2" s="59"/>
      <c r="M2" s="59"/>
    </row>
    <row r="3" spans="1:13" x14ac:dyDescent="0.3">
      <c r="A3" s="6" t="s">
        <v>3</v>
      </c>
      <c r="B3" s="14">
        <f>'MasterData (MTH)'!B3</f>
        <v>3700</v>
      </c>
      <c r="C3" s="14">
        <f>'MasterData (MTH)'!C3+B3</f>
        <v>7550</v>
      </c>
      <c r="D3" s="14">
        <f>'MasterData (MTH)'!D3+C3</f>
        <v>7550</v>
      </c>
      <c r="E3" s="14">
        <f>'MasterData (MTH)'!E3+D3</f>
        <v>7550</v>
      </c>
      <c r="F3" s="60"/>
      <c r="G3" s="60"/>
      <c r="H3" s="60"/>
      <c r="I3" s="60"/>
      <c r="J3" s="60"/>
      <c r="K3" s="60"/>
      <c r="L3" s="60"/>
      <c r="M3" s="60"/>
    </row>
    <row r="4" spans="1:13" x14ac:dyDescent="0.3">
      <c r="A4" s="28" t="s">
        <v>73</v>
      </c>
      <c r="B4" s="14">
        <f>'MasterData (MTH)'!B4</f>
        <v>350</v>
      </c>
      <c r="C4" s="14">
        <f>'MasterData (MTH)'!C4+B4</f>
        <v>700</v>
      </c>
      <c r="D4" s="14">
        <f>'MasterData (MTH)'!D4+C4</f>
        <v>700</v>
      </c>
      <c r="E4" s="14">
        <f>'MasterData (MTH)'!E4+D4</f>
        <v>700</v>
      </c>
      <c r="F4" s="60"/>
      <c r="G4" s="60"/>
      <c r="H4" s="60"/>
      <c r="I4" s="60"/>
      <c r="J4" s="60"/>
      <c r="K4" s="60"/>
      <c r="L4" s="60"/>
      <c r="M4" s="60"/>
    </row>
    <row r="5" spans="1:13" x14ac:dyDescent="0.3">
      <c r="A5" s="28" t="s">
        <v>74</v>
      </c>
      <c r="B5" s="14">
        <f>'MasterData (MTH)'!B5</f>
        <v>125.9</v>
      </c>
      <c r="C5" s="14">
        <f>'MasterData (MTH)'!C5+B5</f>
        <v>251.8</v>
      </c>
      <c r="D5" s="14">
        <f>'MasterData (MTH)'!D5+C5</f>
        <v>251.8</v>
      </c>
      <c r="E5" s="14">
        <f>'MasterData (MTH)'!E5+D5</f>
        <v>251.8</v>
      </c>
      <c r="F5" s="60"/>
      <c r="G5" s="60"/>
      <c r="H5" s="60"/>
      <c r="I5" s="60"/>
      <c r="J5" s="60"/>
      <c r="K5" s="60"/>
      <c r="L5" s="60"/>
      <c r="M5" s="60"/>
    </row>
    <row r="6" spans="1:13" x14ac:dyDescent="0.3">
      <c r="A6" s="28" t="s">
        <v>52</v>
      </c>
      <c r="B6" s="14">
        <f>'MasterData (MTH)'!B6</f>
        <v>49.88</v>
      </c>
      <c r="C6" s="14">
        <f>'MasterData (MTH)'!C6+B6</f>
        <v>101.58000000000001</v>
      </c>
      <c r="D6" s="14">
        <f>'MasterData (MTH)'!D6+C6</f>
        <v>101.58000000000001</v>
      </c>
      <c r="E6" s="14">
        <f>'MasterData (MTH)'!E6+D6</f>
        <v>101.58000000000001</v>
      </c>
      <c r="F6" s="60"/>
      <c r="G6" s="60"/>
      <c r="H6" s="60"/>
      <c r="I6" s="60"/>
      <c r="J6" s="60"/>
      <c r="K6" s="60"/>
      <c r="L6" s="60"/>
      <c r="M6" s="60"/>
    </row>
    <row r="7" spans="1:13" x14ac:dyDescent="0.3">
      <c r="A7" s="28" t="s">
        <v>75</v>
      </c>
      <c r="B7" s="14">
        <f>'MasterData (MTH)'!B7</f>
        <v>67.3</v>
      </c>
      <c r="C7" s="14">
        <f>'MasterData (MTH)'!C7+B7</f>
        <v>121.9</v>
      </c>
      <c r="D7" s="14">
        <f>'MasterData (MTH)'!D7+C7</f>
        <v>121.9</v>
      </c>
      <c r="E7" s="14">
        <f>'MasterData (MTH)'!E7+D7</f>
        <v>121.9</v>
      </c>
      <c r="F7" s="60"/>
      <c r="G7" s="60"/>
      <c r="H7" s="60"/>
      <c r="I7" s="60"/>
      <c r="J7" s="60"/>
      <c r="K7" s="60"/>
      <c r="L7" s="60"/>
      <c r="M7" s="60"/>
    </row>
    <row r="8" spans="1:13" x14ac:dyDescent="0.3">
      <c r="A8" s="28" t="s">
        <v>76</v>
      </c>
      <c r="B8" s="14">
        <f>'MasterData (MTH)'!B8</f>
        <v>4.95</v>
      </c>
      <c r="C8" s="14">
        <f>'MasterData (MTH)'!C8+B8</f>
        <v>10.050000000000001</v>
      </c>
      <c r="D8" s="14">
        <f>'MasterData (MTH)'!D8+C8</f>
        <v>10.050000000000001</v>
      </c>
      <c r="E8" s="14">
        <f>'MasterData (MTH)'!E8+D8</f>
        <v>10.050000000000001</v>
      </c>
      <c r="F8" s="60"/>
      <c r="G8" s="60"/>
      <c r="H8" s="60"/>
      <c r="I8" s="60"/>
      <c r="J8" s="60"/>
      <c r="K8" s="60"/>
      <c r="L8" s="60"/>
      <c r="M8" s="60"/>
    </row>
    <row r="9" spans="1:13" x14ac:dyDescent="0.3">
      <c r="A9" s="28" t="s">
        <v>77</v>
      </c>
      <c r="B9" s="14">
        <f>'MasterData (MTH)'!B9</f>
        <v>30</v>
      </c>
      <c r="C9" s="14">
        <f>'MasterData (MTH)'!C9+B9</f>
        <v>30</v>
      </c>
      <c r="D9" s="14">
        <f>'MasterData (MTH)'!D9+C9</f>
        <v>30</v>
      </c>
      <c r="E9" s="14">
        <f>'MasterData (MTH)'!E9+D9</f>
        <v>30</v>
      </c>
      <c r="F9" s="60"/>
      <c r="G9" s="60"/>
      <c r="H9" s="60"/>
      <c r="I9" s="60"/>
      <c r="J9" s="60"/>
      <c r="K9" s="60"/>
      <c r="L9" s="60"/>
      <c r="M9" s="60"/>
    </row>
    <row r="10" spans="1:13" x14ac:dyDescent="0.3">
      <c r="A10" s="28" t="s">
        <v>78</v>
      </c>
      <c r="B10" s="14">
        <f>'MasterData (MTH)'!B10</f>
        <v>12.5</v>
      </c>
      <c r="C10" s="14">
        <f>'MasterData (MTH)'!C10+B10</f>
        <v>15</v>
      </c>
      <c r="D10" s="14">
        <f>'MasterData (MTH)'!D10+C10</f>
        <v>15</v>
      </c>
      <c r="E10" s="14">
        <f>'MasterData (MTH)'!E10+D10</f>
        <v>15</v>
      </c>
      <c r="F10" s="60"/>
      <c r="G10" s="60"/>
      <c r="H10" s="60"/>
      <c r="I10" s="60"/>
      <c r="J10" s="60"/>
      <c r="K10" s="60"/>
      <c r="L10" s="60"/>
      <c r="M10" s="60"/>
    </row>
    <row r="11" spans="1:13" x14ac:dyDescent="0.3">
      <c r="A11" s="28" t="s">
        <v>79</v>
      </c>
      <c r="B11" s="14">
        <f>'MasterData (MTH)'!B11</f>
        <v>12</v>
      </c>
      <c r="C11" s="14">
        <f>'MasterData (MTH)'!C11+B11</f>
        <v>20.75</v>
      </c>
      <c r="D11" s="14">
        <f>'MasterData (MTH)'!D11+C11</f>
        <v>20.75</v>
      </c>
      <c r="E11" s="14">
        <f>'MasterData (MTH)'!E11+D11</f>
        <v>20.75</v>
      </c>
      <c r="F11" s="60"/>
      <c r="G11" s="60"/>
      <c r="H11" s="60"/>
      <c r="I11" s="60"/>
      <c r="J11" s="60"/>
      <c r="K11" s="60"/>
      <c r="L11" s="60"/>
      <c r="M11" s="60"/>
    </row>
    <row r="12" spans="1:13" x14ac:dyDescent="0.3">
      <c r="A12" s="28" t="s">
        <v>80</v>
      </c>
      <c r="B12" s="14">
        <f>'MasterData (MTH)'!B12</f>
        <v>159</v>
      </c>
      <c r="C12" s="14">
        <f>'MasterData (MTH)'!C12+B12</f>
        <v>357.2</v>
      </c>
      <c r="D12" s="14">
        <f>'MasterData (MTH)'!D12+C12</f>
        <v>357.2</v>
      </c>
      <c r="E12" s="14">
        <f>'MasterData (MTH)'!E12+D12</f>
        <v>357.2</v>
      </c>
      <c r="F12" s="60"/>
      <c r="G12" s="60"/>
      <c r="H12" s="60"/>
      <c r="I12" s="60"/>
      <c r="J12" s="60"/>
      <c r="K12" s="60"/>
      <c r="L12" s="60"/>
      <c r="M12" s="60"/>
    </row>
    <row r="13" spans="1:13" x14ac:dyDescent="0.3">
      <c r="A13" s="28" t="s">
        <v>81</v>
      </c>
      <c r="B13" s="14">
        <f>'MasterData (MTH)'!B13</f>
        <v>70</v>
      </c>
      <c r="C13" s="14">
        <f>'MasterData (MTH)'!C13+B13</f>
        <v>140</v>
      </c>
      <c r="D13" s="14">
        <f>'MasterData (MTH)'!D13+C13</f>
        <v>140</v>
      </c>
      <c r="E13" s="14">
        <f>'MasterData (MTH)'!E13+D13</f>
        <v>140</v>
      </c>
      <c r="F13" s="60"/>
      <c r="G13" s="60"/>
      <c r="H13" s="60"/>
      <c r="I13" s="60"/>
      <c r="J13" s="60"/>
      <c r="K13" s="60"/>
      <c r="L13" s="60"/>
      <c r="M13" s="60"/>
    </row>
    <row r="14" spans="1:13" x14ac:dyDescent="0.3">
      <c r="A14" s="28" t="s">
        <v>82</v>
      </c>
      <c r="B14" s="14">
        <f>'MasterData (MTH)'!B14</f>
        <v>78.400000000000006</v>
      </c>
      <c r="C14" s="14">
        <f>'MasterData (MTH)'!C14+B14</f>
        <v>228.4</v>
      </c>
      <c r="D14" s="14">
        <f>'MasterData (MTH)'!D14+C14</f>
        <v>228.4</v>
      </c>
      <c r="E14" s="14">
        <f>'MasterData (MTH)'!E14+D14</f>
        <v>228.4</v>
      </c>
      <c r="F14" s="60"/>
      <c r="G14" s="60"/>
      <c r="H14" s="60"/>
      <c r="I14" s="60"/>
      <c r="J14" s="60"/>
      <c r="K14" s="60"/>
      <c r="L14" s="60"/>
      <c r="M14" s="60"/>
    </row>
    <row r="15" spans="1:13" x14ac:dyDescent="0.3">
      <c r="A15" s="28" t="s">
        <v>83</v>
      </c>
      <c r="B15" s="14">
        <f>'MasterData (MTH)'!B15</f>
        <v>450</v>
      </c>
      <c r="C15" s="14">
        <f>'MasterData (MTH)'!C15+B15</f>
        <v>815.9</v>
      </c>
      <c r="D15" s="14">
        <f>'MasterData (MTH)'!D15+C15</f>
        <v>815.9</v>
      </c>
      <c r="E15" s="14">
        <f>'MasterData (MTH)'!E15+D15</f>
        <v>815.9</v>
      </c>
      <c r="F15" s="60"/>
      <c r="G15" s="60"/>
      <c r="H15" s="60"/>
      <c r="I15" s="60"/>
      <c r="J15" s="60"/>
      <c r="K15" s="60"/>
      <c r="L15" s="60"/>
      <c r="M15" s="60"/>
    </row>
    <row r="16" spans="1:13" x14ac:dyDescent="0.3">
      <c r="A16" s="28" t="s">
        <v>84</v>
      </c>
      <c r="B16" s="14">
        <f>'MasterData (MTH)'!B16</f>
        <v>979.6</v>
      </c>
      <c r="C16" s="14">
        <f>'MasterData (MTH)'!C16+B16</f>
        <v>2173.6</v>
      </c>
      <c r="D16" s="14">
        <f>'MasterData (MTH)'!D16+C16</f>
        <v>2173.6</v>
      </c>
      <c r="E16" s="14">
        <f>'MasterData (MTH)'!E16+D16</f>
        <v>2173.6</v>
      </c>
      <c r="F16" s="60"/>
      <c r="G16" s="60"/>
      <c r="H16" s="60"/>
      <c r="I16" s="60"/>
      <c r="J16" s="60"/>
      <c r="K16" s="60"/>
      <c r="L16" s="60"/>
      <c r="M16" s="60"/>
    </row>
    <row r="17" spans="1:13" x14ac:dyDescent="0.3">
      <c r="A17" s="28" t="s">
        <v>51</v>
      </c>
      <c r="B17" s="14">
        <f>'MasterData (MTH)'!B17</f>
        <v>5</v>
      </c>
      <c r="C17" s="14">
        <f>'MasterData (MTH)'!C17+B17</f>
        <v>20</v>
      </c>
      <c r="D17" s="14">
        <f>'MasterData (MTH)'!D17+C17</f>
        <v>20</v>
      </c>
      <c r="E17" s="14">
        <f>'MasterData (MTH)'!E17+D17</f>
        <v>20</v>
      </c>
      <c r="F17" s="60"/>
      <c r="G17" s="60"/>
      <c r="H17" s="60"/>
      <c r="I17" s="60"/>
      <c r="J17" s="60"/>
      <c r="K17" s="60"/>
      <c r="L17" s="60"/>
      <c r="M17" s="60"/>
    </row>
    <row r="18" spans="1:13" x14ac:dyDescent="0.3">
      <c r="A18" s="28" t="s">
        <v>50</v>
      </c>
      <c r="B18" s="14">
        <f>'MasterData (MTH)'!B18</f>
        <v>35.9</v>
      </c>
      <c r="C18" s="14">
        <f>'MasterData (MTH)'!C18+B18</f>
        <v>59.099999999999994</v>
      </c>
      <c r="D18" s="14">
        <f>'MasterData (MTH)'!D18+C18</f>
        <v>59.099999999999994</v>
      </c>
      <c r="E18" s="14">
        <f>'MasterData (MTH)'!E18+D18</f>
        <v>59.099999999999994</v>
      </c>
      <c r="F18" s="60"/>
      <c r="G18" s="60"/>
      <c r="H18" s="60"/>
      <c r="I18" s="60"/>
      <c r="J18" s="60"/>
      <c r="K18" s="60"/>
      <c r="L18" s="60"/>
      <c r="M18" s="60"/>
    </row>
    <row r="19" spans="1:13" x14ac:dyDescent="0.3">
      <c r="A19" s="28" t="s">
        <v>61</v>
      </c>
      <c r="B19" s="14">
        <f>'MasterData (MTH)'!B19</f>
        <v>0</v>
      </c>
      <c r="C19" s="14">
        <f>'MasterData (MTH)'!C19+B19</f>
        <v>30</v>
      </c>
      <c r="D19" s="14">
        <f>'MasterData (MTH)'!D19+C19</f>
        <v>30</v>
      </c>
      <c r="E19" s="14">
        <f>'MasterData (MTH)'!E19+D19</f>
        <v>30</v>
      </c>
      <c r="F19" s="60"/>
      <c r="G19" s="60"/>
      <c r="H19" s="60"/>
      <c r="I19" s="60"/>
      <c r="J19" s="60"/>
      <c r="K19" s="60"/>
      <c r="L19" s="60"/>
      <c r="M19" s="60"/>
    </row>
    <row r="20" spans="1:13" x14ac:dyDescent="0.3">
      <c r="A20" s="28" t="s">
        <v>85</v>
      </c>
      <c r="B20" s="14">
        <f>'MasterData (MTH)'!B20</f>
        <v>0</v>
      </c>
      <c r="C20" s="14">
        <f>'MasterData (MTH)'!C20+B20</f>
        <v>0</v>
      </c>
      <c r="D20" s="14">
        <f>'MasterData (MTH)'!D20+C20</f>
        <v>0</v>
      </c>
      <c r="E20" s="14">
        <f>'MasterData (MTH)'!E20+D20</f>
        <v>0</v>
      </c>
      <c r="F20" s="60"/>
      <c r="G20" s="60"/>
      <c r="H20" s="60"/>
      <c r="I20" s="60"/>
      <c r="J20" s="60"/>
      <c r="K20" s="60"/>
      <c r="L20" s="60"/>
      <c r="M20" s="60"/>
    </row>
    <row r="21" spans="1:13" x14ac:dyDescent="0.3">
      <c r="A21" s="28" t="s">
        <v>62</v>
      </c>
      <c r="B21" s="14">
        <f>'MasterData (MTH)'!B21</f>
        <v>0</v>
      </c>
      <c r="C21" s="14">
        <f>'MasterData (MTH)'!C21+B21</f>
        <v>0</v>
      </c>
      <c r="D21" s="14">
        <f>'MasterData (MTH)'!D21+C21</f>
        <v>0</v>
      </c>
      <c r="E21" s="14">
        <f>'MasterData (MTH)'!E21+D21</f>
        <v>0</v>
      </c>
      <c r="F21" s="60"/>
      <c r="G21" s="60"/>
      <c r="H21" s="60"/>
      <c r="I21" s="60"/>
      <c r="J21" s="60"/>
      <c r="K21" s="60"/>
      <c r="L21" s="60"/>
      <c r="M21" s="60"/>
    </row>
    <row r="22" spans="1:13" x14ac:dyDescent="0.3">
      <c r="A22" s="28" t="s">
        <v>86</v>
      </c>
      <c r="B22" s="14">
        <f>'MasterData (MTH)'!B22</f>
        <v>106</v>
      </c>
      <c r="C22" s="14">
        <f>'MasterData (MTH)'!C22+B22</f>
        <v>163.80000000000001</v>
      </c>
      <c r="D22" s="14">
        <f>'MasterData (MTH)'!D22+C22</f>
        <v>163.80000000000001</v>
      </c>
      <c r="E22" s="14">
        <f>'MasterData (MTH)'!E22+D22</f>
        <v>163.80000000000001</v>
      </c>
      <c r="F22" s="60"/>
      <c r="G22" s="60"/>
      <c r="H22" s="60"/>
      <c r="I22" s="60"/>
      <c r="J22" s="60"/>
      <c r="K22" s="60"/>
      <c r="L22" s="60"/>
      <c r="M22" s="60"/>
    </row>
    <row r="23" spans="1:13" x14ac:dyDescent="0.3">
      <c r="A23" s="28" t="s">
        <v>58</v>
      </c>
      <c r="B23" s="14">
        <f>'MasterData (MTH)'!B23</f>
        <v>78</v>
      </c>
      <c r="C23" s="14">
        <f>'MasterData (MTH)'!C23+B23</f>
        <v>78</v>
      </c>
      <c r="D23" s="14">
        <f>'MasterData (MTH)'!D23+C23</f>
        <v>78</v>
      </c>
      <c r="E23" s="14">
        <f>'MasterData (MTH)'!E23+D23</f>
        <v>78</v>
      </c>
      <c r="F23" s="60"/>
      <c r="G23" s="60"/>
      <c r="H23" s="60"/>
      <c r="I23" s="60"/>
      <c r="J23" s="60"/>
      <c r="K23" s="60"/>
      <c r="L23" s="60"/>
      <c r="M23" s="60"/>
    </row>
    <row r="24" spans="1:13" x14ac:dyDescent="0.3">
      <c r="A24" s="28" t="s">
        <v>59</v>
      </c>
      <c r="B24" s="14">
        <f>'MasterData (MTH)'!B24</f>
        <v>0</v>
      </c>
      <c r="C24" s="14">
        <f>'MasterData (MTH)'!C24+B24</f>
        <v>0</v>
      </c>
      <c r="D24" s="14">
        <f>'MasterData (MTH)'!D24+C24</f>
        <v>0</v>
      </c>
      <c r="E24" s="14">
        <f>'MasterData (MTH)'!E24+D24</f>
        <v>0</v>
      </c>
      <c r="F24" s="60"/>
      <c r="G24" s="60"/>
      <c r="H24" s="60"/>
      <c r="I24" s="60"/>
      <c r="J24" s="60"/>
      <c r="K24" s="60"/>
      <c r="L24" s="60"/>
      <c r="M24" s="60"/>
    </row>
    <row r="25" spans="1:13" x14ac:dyDescent="0.3">
      <c r="A25" s="28" t="s">
        <v>64</v>
      </c>
      <c r="B25" s="14">
        <f>'MasterData (MTH)'!B25</f>
        <v>400</v>
      </c>
      <c r="C25" s="14">
        <f>'MasterData (MTH)'!C25+B25</f>
        <v>800</v>
      </c>
      <c r="D25" s="14">
        <f>'MasterData (MTH)'!D25+C25</f>
        <v>800</v>
      </c>
      <c r="E25" s="14">
        <f>'MasterData (MTH)'!E25+D25</f>
        <v>800</v>
      </c>
      <c r="F25" s="60"/>
      <c r="G25" s="60"/>
      <c r="H25" s="60"/>
      <c r="I25" s="60"/>
      <c r="J25" s="60"/>
      <c r="K25" s="60"/>
      <c r="L25" s="60"/>
      <c r="M25" s="60"/>
    </row>
    <row r="26" spans="1:13" x14ac:dyDescent="0.3">
      <c r="A26" s="28" t="s">
        <v>54</v>
      </c>
      <c r="B26" s="14">
        <f>'MasterData (MTH)'!B26</f>
        <v>45</v>
      </c>
      <c r="C26" s="14">
        <f>'MasterData (MTH)'!C26+B26</f>
        <v>65</v>
      </c>
      <c r="D26" s="14">
        <f>'MasterData (MTH)'!D26+C26</f>
        <v>65</v>
      </c>
      <c r="E26" s="14">
        <f>'MasterData (MTH)'!E26+D26</f>
        <v>65</v>
      </c>
      <c r="F26" s="60"/>
      <c r="G26" s="60"/>
      <c r="H26" s="60"/>
      <c r="I26" s="60"/>
      <c r="J26" s="60"/>
      <c r="K26" s="60"/>
      <c r="L26" s="60"/>
      <c r="M26" s="60"/>
    </row>
    <row r="27" spans="1:13" x14ac:dyDescent="0.3">
      <c r="A27" s="28" t="s">
        <v>55</v>
      </c>
      <c r="B27" s="14">
        <f>'MasterData (MTH)'!B27</f>
        <v>70.900000000000006</v>
      </c>
      <c r="C27" s="14">
        <f>'MasterData (MTH)'!C27+B27</f>
        <v>138.69999999999999</v>
      </c>
      <c r="D27" s="14">
        <f>'MasterData (MTH)'!D27+C27</f>
        <v>138.69999999999999</v>
      </c>
      <c r="E27" s="14">
        <f>'MasterData (MTH)'!E27+D27</f>
        <v>138.69999999999999</v>
      </c>
      <c r="F27" s="60"/>
      <c r="G27" s="60"/>
      <c r="H27" s="60"/>
      <c r="I27" s="60"/>
      <c r="J27" s="60"/>
      <c r="K27" s="60"/>
      <c r="L27" s="60"/>
      <c r="M27" s="60"/>
    </row>
    <row r="28" spans="1:13" x14ac:dyDescent="0.3">
      <c r="A28" s="28" t="s">
        <v>56</v>
      </c>
      <c r="B28" s="14">
        <f>'MasterData (MTH)'!B28</f>
        <v>21.2</v>
      </c>
      <c r="C28" s="14">
        <f>'MasterData (MTH)'!C28+B28</f>
        <v>21.2</v>
      </c>
      <c r="D28" s="14">
        <f>'MasterData (MTH)'!D28+C28</f>
        <v>21.2</v>
      </c>
      <c r="E28" s="14">
        <f>'MasterData (MTH)'!E28+D28</f>
        <v>21.2</v>
      </c>
      <c r="F28" s="60"/>
      <c r="G28" s="60"/>
      <c r="H28" s="60"/>
      <c r="I28" s="60"/>
      <c r="J28" s="60"/>
      <c r="K28" s="60"/>
      <c r="L28" s="60"/>
      <c r="M28" s="60"/>
    </row>
    <row r="29" spans="1:13" x14ac:dyDescent="0.3">
      <c r="A29" s="28" t="s">
        <v>57</v>
      </c>
      <c r="B29" s="14">
        <f>'MasterData (MTH)'!B29</f>
        <v>45.5</v>
      </c>
      <c r="C29" s="14">
        <f>'MasterData (MTH)'!C29+B29</f>
        <v>112.5</v>
      </c>
      <c r="D29" s="14">
        <f>'MasterData (MTH)'!D29+C29</f>
        <v>112.5</v>
      </c>
      <c r="E29" s="14">
        <f>'MasterData (MTH)'!E29+D29</f>
        <v>112.5</v>
      </c>
      <c r="F29" s="60"/>
      <c r="G29" s="60"/>
      <c r="H29" s="60"/>
      <c r="I29" s="60"/>
      <c r="J29" s="60"/>
      <c r="K29" s="60"/>
      <c r="L29" s="60"/>
      <c r="M29" s="60"/>
    </row>
    <row r="30" spans="1:13" x14ac:dyDescent="0.3">
      <c r="A30" t="s">
        <v>16</v>
      </c>
      <c r="B30" s="14">
        <f>'MasterData (MTH)'!B30</f>
        <v>370</v>
      </c>
      <c r="C30" s="14">
        <f>'MasterData (MTH)'!C30+B30</f>
        <v>740</v>
      </c>
      <c r="D30" s="14">
        <f>'MasterData (MTH)'!D30+C30</f>
        <v>740</v>
      </c>
      <c r="E30" s="14">
        <f>'MasterData (MTH)'!E30+D30</f>
        <v>740</v>
      </c>
      <c r="F30" s="60"/>
      <c r="G30" s="60"/>
      <c r="H30" s="60"/>
      <c r="I30" s="60"/>
      <c r="J30" s="60"/>
      <c r="K30" s="60"/>
      <c r="L30" s="60"/>
      <c r="M30" s="60"/>
    </row>
    <row r="31" spans="1:13" x14ac:dyDescent="0.3">
      <c r="A31"/>
      <c r="C31" s="14">
        <f>'MasterData (MTH)'!C31+B31</f>
        <v>0</v>
      </c>
      <c r="D31" s="14">
        <f>'MasterData (MTH)'!D31+C31</f>
        <v>0</v>
      </c>
      <c r="E31" s="14">
        <f>'MasterData (MTH)'!E31+D31</f>
        <v>0</v>
      </c>
      <c r="F31" s="60"/>
      <c r="G31" s="60"/>
      <c r="H31" s="60"/>
      <c r="I31" s="60"/>
      <c r="J31" s="60"/>
      <c r="K31" s="60"/>
      <c r="L31" s="60"/>
      <c r="M31" s="60"/>
    </row>
    <row r="32" spans="1:13" x14ac:dyDescent="0.3">
      <c r="A32" s="3" t="s">
        <v>9</v>
      </c>
      <c r="B32" s="14">
        <f>'MasterData (MTH)'!B32</f>
        <v>640.53</v>
      </c>
      <c r="C32" s="14">
        <f>'MasterData (MTH)'!C32+B32</f>
        <v>1230.33</v>
      </c>
      <c r="D32" s="14">
        <f>'MasterData (MTH)'!D32+C32</f>
        <v>1230.33</v>
      </c>
      <c r="E32" s="14">
        <f>'MasterData (MTH)'!E32+D32</f>
        <v>1230.33</v>
      </c>
      <c r="F32" s="60"/>
      <c r="G32" s="60"/>
      <c r="H32" s="60"/>
      <c r="I32" s="60"/>
      <c r="J32" s="60"/>
      <c r="K32" s="60"/>
      <c r="L32" s="60"/>
      <c r="M32" s="60"/>
    </row>
    <row r="33" spans="1:13" x14ac:dyDescent="0.3">
      <c r="A33" s="3" t="s">
        <v>10</v>
      </c>
      <c r="B33" s="14">
        <f>'MasterData (MTH)'!B33</f>
        <v>319.39999999999998</v>
      </c>
      <c r="C33" s="14">
        <f>'MasterData (MTH)'!C33+B33</f>
        <v>746.34999999999991</v>
      </c>
      <c r="D33" s="14">
        <f>'MasterData (MTH)'!D33+C33</f>
        <v>746.34999999999991</v>
      </c>
      <c r="E33" s="14">
        <f>'MasterData (MTH)'!E33+D33</f>
        <v>746.34999999999991</v>
      </c>
      <c r="F33" s="60"/>
      <c r="G33" s="60"/>
      <c r="H33" s="60"/>
      <c r="I33" s="60"/>
      <c r="J33" s="60"/>
      <c r="K33" s="60"/>
      <c r="L33" s="60"/>
      <c r="M33" s="60"/>
    </row>
    <row r="34" spans="1:13" x14ac:dyDescent="0.3">
      <c r="A34" s="3" t="s">
        <v>11</v>
      </c>
      <c r="B34" s="14">
        <f>'MasterData (MTH)'!B34</f>
        <v>1429.6</v>
      </c>
      <c r="C34" s="14">
        <f>'MasterData (MTH)'!C34+B34</f>
        <v>2989.5</v>
      </c>
      <c r="D34" s="14">
        <f>'MasterData (MTH)'!D34+C34</f>
        <v>2989.5</v>
      </c>
      <c r="E34" s="14">
        <f>'MasterData (MTH)'!E34+D34</f>
        <v>2989.5</v>
      </c>
      <c r="F34" s="60"/>
      <c r="G34" s="60"/>
      <c r="H34" s="60"/>
      <c r="I34" s="60"/>
      <c r="J34" s="60"/>
      <c r="K34" s="60"/>
      <c r="L34" s="60"/>
      <c r="M34" s="60"/>
    </row>
    <row r="35" spans="1:13" x14ac:dyDescent="0.3">
      <c r="A35" s="3" t="s">
        <v>13</v>
      </c>
      <c r="B35" s="14">
        <f>'MasterData (MTH)'!B35</f>
        <v>40.9</v>
      </c>
      <c r="C35" s="14">
        <f>'MasterData (MTH)'!C35+B35</f>
        <v>109.1</v>
      </c>
      <c r="D35" s="14">
        <f>'MasterData (MTH)'!D35+C35</f>
        <v>109.1</v>
      </c>
      <c r="E35" s="14">
        <f>'MasterData (MTH)'!E35+D35</f>
        <v>109.1</v>
      </c>
      <c r="F35" s="60"/>
      <c r="G35" s="60"/>
      <c r="H35" s="60"/>
      <c r="I35" s="60"/>
      <c r="J35" s="60"/>
      <c r="K35" s="60"/>
      <c r="L35" s="60"/>
      <c r="M35" s="60"/>
    </row>
    <row r="36" spans="1:13" x14ac:dyDescent="0.3">
      <c r="A36" s="3" t="s">
        <v>15</v>
      </c>
      <c r="B36" s="14">
        <f>'MasterData (MTH)'!B36</f>
        <v>106</v>
      </c>
      <c r="C36" s="14">
        <f>'MasterData (MTH)'!C36+B36</f>
        <v>163.80000000000001</v>
      </c>
      <c r="D36" s="14">
        <f>'MasterData (MTH)'!D36+C36</f>
        <v>163.80000000000001</v>
      </c>
      <c r="E36" s="14">
        <f>'MasterData (MTH)'!E36+D36</f>
        <v>163.80000000000001</v>
      </c>
      <c r="F36" s="60"/>
      <c r="G36" s="60"/>
      <c r="H36" s="60"/>
      <c r="I36" s="60"/>
      <c r="J36" s="60"/>
      <c r="K36" s="60"/>
      <c r="L36" s="60"/>
      <c r="M36" s="60"/>
    </row>
    <row r="37" spans="1:13" x14ac:dyDescent="0.3">
      <c r="A37" s="3" t="s">
        <v>31</v>
      </c>
      <c r="B37" s="14">
        <f>'MasterData (MTH)'!B37</f>
        <v>78</v>
      </c>
      <c r="C37" s="14">
        <f>'MasterData (MTH)'!C37+B37</f>
        <v>78</v>
      </c>
      <c r="D37" s="14">
        <f>'MasterData (MTH)'!D37+C37</f>
        <v>78</v>
      </c>
      <c r="E37" s="14">
        <f>'MasterData (MTH)'!E37+D37</f>
        <v>78</v>
      </c>
      <c r="F37" s="60"/>
      <c r="G37" s="60"/>
      <c r="H37" s="60"/>
      <c r="I37" s="60"/>
      <c r="J37" s="60"/>
      <c r="K37" s="60"/>
      <c r="L37" s="60"/>
      <c r="M37" s="60"/>
    </row>
    <row r="38" spans="1:13" x14ac:dyDescent="0.3">
      <c r="A38" s="3" t="s">
        <v>32</v>
      </c>
      <c r="B38" s="14">
        <f>'MasterData (MTH)'!B38</f>
        <v>582.6</v>
      </c>
      <c r="C38" s="14">
        <f>'MasterData (MTH)'!C38+B38</f>
        <v>1137.4000000000001</v>
      </c>
      <c r="D38" s="14">
        <f>'MasterData (MTH)'!D38+C38</f>
        <v>1137.4000000000001</v>
      </c>
      <c r="E38" s="14">
        <f>'MasterData (MTH)'!E38+D38</f>
        <v>1137.4000000000001</v>
      </c>
      <c r="F38" s="60"/>
      <c r="G38" s="60"/>
      <c r="H38" s="60"/>
      <c r="I38" s="60"/>
      <c r="J38" s="60"/>
      <c r="K38" s="60"/>
      <c r="L38" s="60"/>
      <c r="M38" s="60"/>
    </row>
    <row r="39" spans="1:13" x14ac:dyDescent="0.3">
      <c r="A39" s="3" t="s">
        <v>33</v>
      </c>
      <c r="B39" s="14">
        <f>'MasterData (MTH)'!B39</f>
        <v>370</v>
      </c>
      <c r="C39" s="14">
        <f>'MasterData (MTH)'!C39+B39</f>
        <v>740</v>
      </c>
      <c r="D39" s="14">
        <f>'MasterData (MTH)'!D39+C39</f>
        <v>740</v>
      </c>
      <c r="E39" s="14">
        <f>'MasterData (MTH)'!E39+D39</f>
        <v>740</v>
      </c>
      <c r="F39" s="60"/>
      <c r="G39" s="60"/>
      <c r="H39" s="60"/>
      <c r="I39" s="60"/>
      <c r="J39" s="60"/>
      <c r="K39" s="60"/>
      <c r="L39" s="60"/>
      <c r="M39" s="60"/>
    </row>
    <row r="40" spans="1:13" x14ac:dyDescent="0.3">
      <c r="F40" s="60"/>
      <c r="G40" s="60"/>
      <c r="H40" s="60"/>
      <c r="I40" s="60"/>
      <c r="J40" s="60"/>
      <c r="K40" s="60"/>
      <c r="L40" s="60"/>
      <c r="M40" s="60"/>
    </row>
    <row r="41" spans="1:13" x14ac:dyDescent="0.3">
      <c r="A41" s="3" t="s">
        <v>40</v>
      </c>
      <c r="B41" s="14">
        <f>SUM(B2:B3)</f>
        <v>3700</v>
      </c>
      <c r="C41" s="14">
        <f t="shared" ref="C41:E41" si="0">SUM(C2:C3)</f>
        <v>7682.97</v>
      </c>
      <c r="D41" s="14">
        <f t="shared" si="0"/>
        <v>7905.52</v>
      </c>
      <c r="E41" s="14">
        <f t="shared" si="0"/>
        <v>7905.52</v>
      </c>
      <c r="F41" s="60"/>
      <c r="G41" s="60"/>
      <c r="H41" s="60"/>
      <c r="I41" s="60"/>
      <c r="J41" s="60"/>
      <c r="K41" s="60"/>
      <c r="L41" s="60"/>
      <c r="M41" s="60"/>
    </row>
    <row r="42" spans="1:13" x14ac:dyDescent="0.3">
      <c r="A42" s="3" t="s">
        <v>41</v>
      </c>
      <c r="B42" s="14">
        <f>SUM(B32:B39)</f>
        <v>3567.0299999999997</v>
      </c>
      <c r="C42" s="14">
        <f t="shared" ref="C42:E42" si="1">SUM(C32:C39)</f>
        <v>7194.4800000000014</v>
      </c>
      <c r="D42" s="14">
        <f t="shared" si="1"/>
        <v>7194.4800000000014</v>
      </c>
      <c r="E42" s="14">
        <f t="shared" si="1"/>
        <v>7194.4800000000014</v>
      </c>
      <c r="F42" s="60"/>
      <c r="G42" s="60"/>
      <c r="H42" s="60"/>
      <c r="I42" s="60"/>
      <c r="J42" s="60"/>
      <c r="K42" s="60"/>
      <c r="L42" s="60"/>
      <c r="M42" s="60"/>
    </row>
    <row r="43" spans="1:13" x14ac:dyDescent="0.3">
      <c r="A43" s="3" t="s">
        <v>34</v>
      </c>
      <c r="B43" s="14">
        <f>B41-B42</f>
        <v>132.97000000000025</v>
      </c>
      <c r="C43" s="14">
        <f t="shared" ref="C43:E43" si="2">C41-C42</f>
        <v>488.48999999999887</v>
      </c>
      <c r="D43" s="14">
        <f t="shared" si="2"/>
        <v>711.03999999999905</v>
      </c>
      <c r="E43" s="14">
        <f t="shared" si="2"/>
        <v>711.03999999999905</v>
      </c>
      <c r="F43" s="60"/>
      <c r="G43" s="60"/>
      <c r="H43" s="60"/>
      <c r="I43" s="60"/>
      <c r="J43" s="60"/>
      <c r="K43" s="60"/>
      <c r="L43" s="60"/>
      <c r="M43" s="60"/>
    </row>
  </sheetData>
  <conditionalFormatting sqref="B1:E1048576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45"/>
  <sheetViews>
    <sheetView zoomScaleNormal="100" zoomScalePageLayoutView="150" workbookViewId="0">
      <selection activeCell="K17" sqref="K17"/>
    </sheetView>
  </sheetViews>
  <sheetFormatPr defaultColWidth="11" defaultRowHeight="15.6" x14ac:dyDescent="0.3"/>
  <cols>
    <col min="1" max="1" width="17.59765625" style="7" bestFit="1" customWidth="1"/>
    <col min="2" max="2" width="12.8984375" style="20" customWidth="1"/>
    <col min="3" max="3" width="11" style="1"/>
    <col min="4" max="4" width="16.69921875" style="12" bestFit="1" customWidth="1"/>
    <col min="5" max="5" width="13" style="22" bestFit="1" customWidth="1"/>
    <col min="6" max="6" width="11" style="1"/>
    <col min="7" max="7" width="20.09765625" style="10" bestFit="1" customWidth="1"/>
    <col min="8" max="8" width="12.09765625" style="24" bestFit="1" customWidth="1"/>
    <col min="9" max="9" width="11" style="1"/>
    <col min="10" max="10" width="14.69921875" style="13" bestFit="1" customWidth="1"/>
    <col min="11" max="11" width="12.09765625" style="18" bestFit="1" customWidth="1"/>
    <col min="12" max="12" width="11" style="1"/>
    <col min="14" max="14" width="10.69921875" style="1" customWidth="1"/>
    <col min="15" max="16384" width="11" style="1"/>
  </cols>
  <sheetData>
    <row r="1" spans="1:12" x14ac:dyDescent="0.3">
      <c r="A1" s="5" t="s">
        <v>4</v>
      </c>
      <c r="B1" s="19" t="str">
        <f>SnapShot!B1</f>
        <v>Jan</v>
      </c>
      <c r="D1" s="11" t="s">
        <v>47</v>
      </c>
      <c r="E1" s="21" t="str">
        <f>SnapShot!B1</f>
        <v>Jan</v>
      </c>
      <c r="G1" s="9" t="s">
        <v>68</v>
      </c>
      <c r="H1" s="23" t="str">
        <f>B1</f>
        <v>Jan</v>
      </c>
      <c r="J1" s="13" t="s">
        <v>66</v>
      </c>
    </row>
    <row r="2" spans="1:12" x14ac:dyDescent="0.3">
      <c r="A2" s="15" t="s">
        <v>70</v>
      </c>
      <c r="B2" s="20">
        <f>_xlfn.IFNA(HLOOKUP($B$1, 'MasterData (MTH)'!$A$1:$M$30, ROWS(B$2:B2)+1,FALSE),0)</f>
        <v>0</v>
      </c>
      <c r="D2" s="17" t="s">
        <v>70</v>
      </c>
      <c r="E2" s="22">
        <f>_xlfn.IFNA(HLOOKUP($B$1, 'MasterData (YTD)'!$A$1:$M$30, ROWS(E$2:E2)+1,FALSE),0)</f>
        <v>0</v>
      </c>
      <c r="G2" s="9"/>
      <c r="J2" s="18" t="str" cm="1">
        <f t="array" ref="J2:K6">INDEX(_xlfn._xlws.SORT(G3:H29,2,-1),_xlfn.SEQUENCE(5),{1,2})</f>
        <v>Auto Repairs</v>
      </c>
      <c r="K2" s="18">
        <v>221.6</v>
      </c>
    </row>
    <row r="3" spans="1:12" x14ac:dyDescent="0.3">
      <c r="A3" s="4" t="s">
        <v>3</v>
      </c>
      <c r="B3" s="20">
        <f>_xlfn.IFNA(HLOOKUP($B$1, 'MasterData (MTH)'!$A$1:$M$30, ROWS(B$2:B3)+1,FALSE),0)</f>
        <v>3700</v>
      </c>
      <c r="D3" s="2" t="s">
        <v>3</v>
      </c>
      <c r="E3" s="22">
        <f>_xlfn.IFNA(HLOOKUP($B$1, 'MasterData (YTD)'!$A$1:$M$30, ROWS(E$2:E3)+1,FALSE),0)</f>
        <v>3700</v>
      </c>
      <c r="G3" s="63" t="s">
        <v>73</v>
      </c>
      <c r="H3" s="24">
        <f>_xlfn.IFNA(HLOOKUP($B$1, 'MasterData (MTH)'!$A$46:$M$73, ROWS(B$3:B3)+1,FALSE),0)</f>
        <v>0</v>
      </c>
      <c r="J3" s="13" t="str">
        <v>Maint/Repairs</v>
      </c>
      <c r="K3" s="18">
        <v>120</v>
      </c>
    </row>
    <row r="4" spans="1:12" x14ac:dyDescent="0.3">
      <c r="A4" s="62" t="s">
        <v>73</v>
      </c>
      <c r="B4" s="20">
        <f>_xlfn.IFNA(HLOOKUP($B$1, 'MasterData (MTH)'!$A$1:$M$30, ROWS(B$2:B4)+1,FALSE),0)</f>
        <v>350</v>
      </c>
      <c r="D4" s="43" t="s">
        <v>73</v>
      </c>
      <c r="E4" s="22">
        <f>_xlfn.IFNA(HLOOKUP($B$1, 'MasterData (YTD)'!$A$1:$M$30, ROWS(E$2:E4)+1,FALSE),0)</f>
        <v>350</v>
      </c>
      <c r="G4" s="63" t="s">
        <v>74</v>
      </c>
      <c r="H4" s="24">
        <f>_xlfn.IFNA(HLOOKUP($B$1, 'MasterData (MTH)'!$A$46:$M$73, ROWS(B$3:B4)+1,FALSE),0)</f>
        <v>4.0999999999999943</v>
      </c>
      <c r="J4" s="13" t="str">
        <v>First-aid/Meds</v>
      </c>
      <c r="K4" s="18">
        <v>78.8</v>
      </c>
    </row>
    <row r="5" spans="1:12" x14ac:dyDescent="0.3">
      <c r="A5" s="62" t="s">
        <v>74</v>
      </c>
      <c r="B5" s="20">
        <f>_xlfn.IFNA(HLOOKUP($B$1, 'MasterData (MTH)'!$A$1:$M$30, ROWS(B$2:B5)+1,FALSE),0)</f>
        <v>125.9</v>
      </c>
      <c r="D5" s="43" t="s">
        <v>74</v>
      </c>
      <c r="E5" s="22">
        <f>_xlfn.IFNA(HLOOKUP($B$1, 'MasterData (YTD)'!$A$1:$M$30, ROWS(E$2:E5)+1,FALSE),0)</f>
        <v>125.9</v>
      </c>
      <c r="G5" s="63" t="s">
        <v>52</v>
      </c>
      <c r="H5" s="24">
        <f>_xlfn.IFNA(HLOOKUP($B$1, 'MasterData (MTH)'!$A$46:$M$73, ROWS(B$3:B5)+1,FALSE),0)</f>
        <v>0.11999999999999744</v>
      </c>
      <c r="J5" s="13" t="str">
        <v>Sports/Activities</v>
      </c>
      <c r="K5" s="18">
        <v>70</v>
      </c>
    </row>
    <row r="6" spans="1:12" x14ac:dyDescent="0.3">
      <c r="A6" s="62" t="s">
        <v>52</v>
      </c>
      <c r="B6" s="20">
        <f>_xlfn.IFNA(HLOOKUP($B$1, 'MasterData (MTH)'!$A$1:$M$30, ROWS(B$2:B6)+1,FALSE),0)</f>
        <v>49.88</v>
      </c>
      <c r="D6" s="43" t="s">
        <v>52</v>
      </c>
      <c r="E6" s="22">
        <f>_xlfn.IFNA(HLOOKUP($B$1, 'MasterData (YTD)'!$A$1:$M$30, ROWS(E$2:E6)+1,FALSE),0)</f>
        <v>49.88</v>
      </c>
      <c r="G6" s="63" t="s">
        <v>75</v>
      </c>
      <c r="H6" s="24">
        <f>_xlfn.IFNA(HLOOKUP($B$1, 'MasterData (MTH)'!$A$46:$M$73, ROWS(B$3:B6)+1,FALSE),0)</f>
        <v>-17.299999999999997</v>
      </c>
      <c r="J6" s="13" t="str">
        <v>Clothing</v>
      </c>
      <c r="K6" s="18">
        <v>55</v>
      </c>
    </row>
    <row r="7" spans="1:12" x14ac:dyDescent="0.3">
      <c r="A7" s="62" t="s">
        <v>75</v>
      </c>
      <c r="B7" s="20">
        <f>_xlfn.IFNA(HLOOKUP($B$1, 'MasterData (MTH)'!$A$1:$M$30, ROWS(B$2:B7)+1,FALSE),0)</f>
        <v>67.3</v>
      </c>
      <c r="D7" s="43" t="s">
        <v>75</v>
      </c>
      <c r="E7" s="22">
        <f>_xlfn.IFNA(HLOOKUP($B$1, 'MasterData (YTD)'!$A$1:$M$30, ROWS(E$2:E7)+1,FALSE),0)</f>
        <v>67.3</v>
      </c>
      <c r="G7" s="63" t="s">
        <v>76</v>
      </c>
      <c r="H7" s="24">
        <f>_xlfn.IFNA(HLOOKUP($B$1, 'MasterData (MTH)'!$A$46:$M$73, ROWS(B$3:B7)+1,FALSE),0)</f>
        <v>4.9999999999999822E-2</v>
      </c>
    </row>
    <row r="8" spans="1:12" x14ac:dyDescent="0.3">
      <c r="A8" s="62" t="s">
        <v>76</v>
      </c>
      <c r="B8" s="20">
        <f>_xlfn.IFNA(HLOOKUP($B$1, 'MasterData (MTH)'!$A$1:$M$30, ROWS(B$2:B8)+1,FALSE),0)</f>
        <v>4.95</v>
      </c>
      <c r="D8" s="43" t="s">
        <v>76</v>
      </c>
      <c r="E8" s="22">
        <f>_xlfn.IFNA(HLOOKUP($B$1, 'MasterData (YTD)'!$A$1:$M$30, ROWS(E$2:E8)+1,FALSE),0)</f>
        <v>4.95</v>
      </c>
      <c r="G8" s="63" t="s">
        <v>77</v>
      </c>
      <c r="H8" s="24">
        <f>_xlfn.IFNA(HLOOKUP($B$1, 'MasterData (MTH)'!$A$46:$M$73, ROWS(B$3:B8)+1,FALSE),0)</f>
        <v>120</v>
      </c>
      <c r="J8" s="13" t="s">
        <v>67</v>
      </c>
      <c r="L8" s="1" t="s">
        <v>69</v>
      </c>
    </row>
    <row r="9" spans="1:12" x14ac:dyDescent="0.3">
      <c r="A9" s="62" t="s">
        <v>77</v>
      </c>
      <c r="B9" s="20">
        <f>_xlfn.IFNA(HLOOKUP($B$1, 'MasterData (MTH)'!$A$1:$M$30, ROWS(B$2:B9)+1,FALSE),0)</f>
        <v>30</v>
      </c>
      <c r="D9" s="43" t="s">
        <v>77</v>
      </c>
      <c r="E9" s="22">
        <f>_xlfn.IFNA(HLOOKUP($B$1, 'MasterData (YTD)'!$A$1:$M$30, ROWS(E$2:E9)+1,FALSE),0)</f>
        <v>30</v>
      </c>
      <c r="G9" s="63" t="s">
        <v>78</v>
      </c>
      <c r="H9" s="24">
        <f>_xlfn.IFNA(HLOOKUP($B$1, 'MasterData (MTH)'!$A$46:$M$73, ROWS(B$3:B9)+1,FALSE),0)</f>
        <v>27.5</v>
      </c>
      <c r="J9" s="13" t="str" cm="1">
        <f t="array" ref="J9:K13">INDEX(_xlfn._xlws.SORT(G3:H29,2,1),_xlfn.SEQUENCE(5),{1,2})</f>
        <v>Groceries</v>
      </c>
      <c r="K9" s="18">
        <v>-250</v>
      </c>
      <c r="L9" s="1">
        <f>ABS(K9)</f>
        <v>250</v>
      </c>
    </row>
    <row r="10" spans="1:12" x14ac:dyDescent="0.3">
      <c r="A10" s="62" t="s">
        <v>78</v>
      </c>
      <c r="B10" s="20">
        <f>_xlfn.IFNA(HLOOKUP($B$1, 'MasterData (MTH)'!$A$1:$M$30, ROWS(B$2:B10)+1,FALSE),0)</f>
        <v>12.5</v>
      </c>
      <c r="D10" s="43" t="s">
        <v>78</v>
      </c>
      <c r="E10" s="22">
        <f>_xlfn.IFNA(HLOOKUP($B$1, 'MasterData (YTD)'!$A$1:$M$30, ROWS(E$2:E10)+1,FALSE),0)</f>
        <v>12.5</v>
      </c>
      <c r="G10" s="63" t="s">
        <v>79</v>
      </c>
      <c r="H10" s="24">
        <f>_xlfn.IFNA(HLOOKUP($B$1, 'MasterData (MTH)'!$A$46:$M$73, ROWS(B$3:B10)+1,FALSE),0)</f>
        <v>38</v>
      </c>
      <c r="J10" s="13" t="str">
        <v>Books</v>
      </c>
      <c r="K10" s="18">
        <v>-18</v>
      </c>
      <c r="L10" s="1">
        <f t="shared" ref="L10:L13" si="0">ABS(K10)</f>
        <v>18</v>
      </c>
    </row>
    <row r="11" spans="1:12" x14ac:dyDescent="0.3">
      <c r="A11" s="62" t="s">
        <v>79</v>
      </c>
      <c r="B11" s="20">
        <f>_xlfn.IFNA(HLOOKUP($B$1, 'MasterData (MTH)'!$A$1:$M$30, ROWS(B$2:B11)+1,FALSE),0)</f>
        <v>12</v>
      </c>
      <c r="D11" s="43" t="s">
        <v>79</v>
      </c>
      <c r="E11" s="22">
        <f>_xlfn.IFNA(HLOOKUP($B$1, 'MasterData (YTD)'!$A$1:$M$30, ROWS(E$2:E11)+1,FALSE),0)</f>
        <v>12</v>
      </c>
      <c r="G11" s="63" t="s">
        <v>80</v>
      </c>
      <c r="H11" s="24">
        <f>_xlfn.IFNA(HLOOKUP($B$1, 'MasterData (MTH)'!$A$46:$M$73, ROWS(B$3:B11)+1,FALSE),0)</f>
        <v>41</v>
      </c>
      <c r="J11" s="13" t="str">
        <v>Electricity</v>
      </c>
      <c r="K11" s="18">
        <v>-17.299999999999997</v>
      </c>
      <c r="L11" s="1">
        <f t="shared" si="0"/>
        <v>17.299999999999997</v>
      </c>
    </row>
    <row r="12" spans="1:12" x14ac:dyDescent="0.3">
      <c r="A12" s="62" t="s">
        <v>80</v>
      </c>
      <c r="B12" s="20">
        <f>_xlfn.IFNA(HLOOKUP($B$1, 'MasterData (MTH)'!$A$1:$M$30, ROWS(B$2:B12)+1,FALSE),0)</f>
        <v>159</v>
      </c>
      <c r="D12" s="43" t="s">
        <v>80</v>
      </c>
      <c r="E12" s="22">
        <f>_xlfn.IFNA(HLOOKUP($B$1, 'MasterData (YTD)'!$A$1:$M$30, ROWS(E$2:E12)+1,FALSE),0)</f>
        <v>159</v>
      </c>
      <c r="G12" s="63" t="s">
        <v>81</v>
      </c>
      <c r="H12" s="24">
        <f>_xlfn.IFNA(HLOOKUP($B$1, 'MasterData (MTH)'!$A$46:$M$73, ROWS(B$3:B12)+1,FALSE),0)</f>
        <v>0</v>
      </c>
      <c r="J12" s="13" t="str">
        <v>Games</v>
      </c>
      <c r="K12" s="18">
        <v>-0.89999999999999858</v>
      </c>
      <c r="L12" s="1">
        <f t="shared" si="0"/>
        <v>0.89999999999999858</v>
      </c>
    </row>
    <row r="13" spans="1:12" x14ac:dyDescent="0.3">
      <c r="A13" s="62" t="s">
        <v>81</v>
      </c>
      <c r="B13" s="20">
        <f>_xlfn.IFNA(HLOOKUP($B$1, 'MasterData (MTH)'!$A$1:$M$30, ROWS(B$2:B13)+1,FALSE),0)</f>
        <v>70</v>
      </c>
      <c r="D13" s="43" t="s">
        <v>81</v>
      </c>
      <c r="E13" s="22">
        <f>_xlfn.IFNA(HLOOKUP($B$1, 'MasterData (YTD)'!$A$1:$M$30, ROWS(E$2:E13)+1,FALSE),0)</f>
        <v>70</v>
      </c>
      <c r="G13" s="63" t="s">
        <v>82</v>
      </c>
      <c r="H13" s="24">
        <f>_xlfn.IFNA(HLOOKUP($B$1, 'MasterData (MTH)'!$A$46:$M$73, ROWS(B$3:B13)+1,FALSE),0)</f>
        <v>221.6</v>
      </c>
      <c r="J13" s="13" t="str">
        <v>Rent</v>
      </c>
      <c r="K13" s="18">
        <v>0</v>
      </c>
      <c r="L13" s="1">
        <f t="shared" si="0"/>
        <v>0</v>
      </c>
    </row>
    <row r="14" spans="1:12" x14ac:dyDescent="0.3">
      <c r="A14" s="62" t="s">
        <v>82</v>
      </c>
      <c r="B14" s="20">
        <f>_xlfn.IFNA(HLOOKUP($B$1, 'MasterData (MTH)'!$A$1:$M$30, ROWS(B$2:B14)+1,FALSE),0)</f>
        <v>78.400000000000006</v>
      </c>
      <c r="D14" s="43" t="s">
        <v>82</v>
      </c>
      <c r="E14" s="22">
        <f>_xlfn.IFNA(HLOOKUP($B$1, 'MasterData (YTD)'!$A$1:$M$30, ROWS(E$2:E14)+1,FALSE),0)</f>
        <v>78.400000000000006</v>
      </c>
      <c r="G14" s="63" t="s">
        <v>83</v>
      </c>
      <c r="H14" s="24">
        <f>_xlfn.IFNA(HLOOKUP($B$1, 'MasterData (MTH)'!$A$46:$M$73, ROWS(B$3:B14)+1,FALSE),0)</f>
        <v>-250</v>
      </c>
    </row>
    <row r="15" spans="1:12" x14ac:dyDescent="0.3">
      <c r="A15" s="62" t="s">
        <v>83</v>
      </c>
      <c r="B15" s="20">
        <f>_xlfn.IFNA(HLOOKUP($B$1, 'MasterData (MTH)'!$A$1:$M$30, ROWS(B$2:B15)+1,FALSE),0)</f>
        <v>450</v>
      </c>
      <c r="D15" s="43" t="s">
        <v>83</v>
      </c>
      <c r="E15" s="22">
        <f>_xlfn.IFNA(HLOOKUP($B$1, 'MasterData (YTD)'!$A$1:$M$30, ROWS(E$2:E15)+1,FALSE),0)</f>
        <v>450</v>
      </c>
      <c r="G15" s="63" t="s">
        <v>84</v>
      </c>
      <c r="H15" s="24">
        <f>_xlfn.IFNA(HLOOKUP($B$1, 'MasterData (MTH)'!$A$46:$M$73, ROWS(B$3:B15)+1,FALSE),0)</f>
        <v>20.399999999999977</v>
      </c>
    </row>
    <row r="16" spans="1:12" x14ac:dyDescent="0.3">
      <c r="A16" s="62" t="s">
        <v>84</v>
      </c>
      <c r="B16" s="20">
        <f>_xlfn.IFNA(HLOOKUP($B$1, 'MasterData (MTH)'!$A$1:$M$30, ROWS(B$2:B16)+1,FALSE),0)</f>
        <v>979.6</v>
      </c>
      <c r="D16" s="43" t="s">
        <v>84</v>
      </c>
      <c r="E16" s="22">
        <f>_xlfn.IFNA(HLOOKUP($B$1, 'MasterData (YTD)'!$A$1:$M$30, ROWS(E$2:E16)+1,FALSE),0)</f>
        <v>979.6</v>
      </c>
      <c r="G16" s="63" t="s">
        <v>51</v>
      </c>
      <c r="H16" s="24">
        <f>_xlfn.IFNA(HLOOKUP($B$1, 'MasterData (MTH)'!$A$46:$M$73, ROWS(B$3:B16)+1,FALSE),0)</f>
        <v>15</v>
      </c>
    </row>
    <row r="17" spans="1:8" x14ac:dyDescent="0.3">
      <c r="A17" s="62" t="s">
        <v>51</v>
      </c>
      <c r="B17" s="20">
        <f>_xlfn.IFNA(HLOOKUP($B$1, 'MasterData (MTH)'!$A$1:$M$30, ROWS(B$2:B17)+1,FALSE),0)</f>
        <v>5</v>
      </c>
      <c r="D17" s="43" t="s">
        <v>51</v>
      </c>
      <c r="E17" s="22">
        <f>_xlfn.IFNA(HLOOKUP($B$1, 'MasterData (YTD)'!$A$1:$M$30, ROWS(E$2:E17)+1,FALSE),0)</f>
        <v>5</v>
      </c>
      <c r="G17" s="63" t="s">
        <v>50</v>
      </c>
      <c r="H17" s="24">
        <f>_xlfn.IFNA(HLOOKUP($B$1, 'MasterData (MTH)'!$A$46:$M$73, ROWS(B$3:B17)+1,FALSE),0)</f>
        <v>-0.89999999999999858</v>
      </c>
    </row>
    <row r="18" spans="1:8" x14ac:dyDescent="0.3">
      <c r="A18" s="62" t="s">
        <v>50</v>
      </c>
      <c r="B18" s="20">
        <f>_xlfn.IFNA(HLOOKUP($B$1, 'MasterData (MTH)'!$A$1:$M$30, ROWS(B$2:B18)+1,FALSE),0)</f>
        <v>35.9</v>
      </c>
      <c r="D18" s="43" t="s">
        <v>50</v>
      </c>
      <c r="E18" s="22">
        <f>_xlfn.IFNA(HLOOKUP($B$1, 'MasterData (YTD)'!$A$1:$M$30, ROWS(E$2:E18)+1,FALSE),0)</f>
        <v>35.9</v>
      </c>
      <c r="G18" s="63" t="s">
        <v>61</v>
      </c>
      <c r="H18" s="24">
        <f>_xlfn.IFNA(HLOOKUP($B$1, 'MasterData (MTH)'!$A$46:$M$73, ROWS(B$3:B18)+1,FALSE),0)</f>
        <v>70</v>
      </c>
    </row>
    <row r="19" spans="1:8" x14ac:dyDescent="0.3">
      <c r="A19" s="62" t="s">
        <v>61</v>
      </c>
      <c r="B19" s="20">
        <f>_xlfn.IFNA(HLOOKUP($B$1, 'MasterData (MTH)'!$A$1:$M$30, ROWS(B$2:B19)+1,FALSE),0)</f>
        <v>0</v>
      </c>
      <c r="D19" s="43" t="s">
        <v>61</v>
      </c>
      <c r="E19" s="22">
        <f>_xlfn.IFNA(HLOOKUP($B$1, 'MasterData (YTD)'!$A$1:$M$30, ROWS(E$2:E19)+1,FALSE),0)</f>
        <v>0</v>
      </c>
      <c r="G19" s="63" t="s">
        <v>85</v>
      </c>
      <c r="H19" s="24">
        <f>_xlfn.IFNA(HLOOKUP($B$1, 'MasterData (MTH)'!$A$46:$M$73, ROWS(B$3:B19)+1,FALSE),0)</f>
        <v>0</v>
      </c>
    </row>
    <row r="20" spans="1:8" x14ac:dyDescent="0.3">
      <c r="A20" s="62" t="s">
        <v>85</v>
      </c>
      <c r="B20" s="20">
        <f>_xlfn.IFNA(HLOOKUP($B$1, 'MasterData (MTH)'!$A$1:$M$30, ROWS(B$2:B20)+1,FALSE),0)</f>
        <v>0</v>
      </c>
      <c r="D20" s="43" t="s">
        <v>85</v>
      </c>
      <c r="E20" s="22">
        <f>_xlfn.IFNA(HLOOKUP($B$1, 'MasterData (YTD)'!$A$1:$M$30, ROWS(E$2:E20)+1,FALSE),0)</f>
        <v>0</v>
      </c>
      <c r="G20" s="63" t="s">
        <v>62</v>
      </c>
      <c r="H20" s="24">
        <f>_xlfn.IFNA(HLOOKUP($B$1, 'MasterData (MTH)'!$A$46:$M$73, ROWS(B$3:B20)+1,FALSE),0)</f>
        <v>0</v>
      </c>
    </row>
    <row r="21" spans="1:8" x14ac:dyDescent="0.3">
      <c r="A21" s="62" t="s">
        <v>62</v>
      </c>
      <c r="B21" s="20">
        <f>_xlfn.IFNA(HLOOKUP($B$1, 'MasterData (MTH)'!$A$1:$M$30, ROWS(B$2:B21)+1,FALSE),0)</f>
        <v>0</v>
      </c>
      <c r="D21" s="43" t="s">
        <v>62</v>
      </c>
      <c r="E21" s="22">
        <f>_xlfn.IFNA(HLOOKUP($B$1, 'MasterData (YTD)'!$A$1:$M$30, ROWS(E$2:E21)+1,FALSE),0)</f>
        <v>0</v>
      </c>
      <c r="G21" s="63" t="s">
        <v>86</v>
      </c>
      <c r="H21" s="24">
        <f>_xlfn.IFNA(HLOOKUP($B$1, 'MasterData (MTH)'!$A$46:$M$73, ROWS(B$3:B21)+1,FALSE),0)</f>
        <v>44</v>
      </c>
    </row>
    <row r="22" spans="1:8" x14ac:dyDescent="0.3">
      <c r="A22" s="62" t="s">
        <v>86</v>
      </c>
      <c r="B22" s="20">
        <f>_xlfn.IFNA(HLOOKUP($B$1, 'MasterData (MTH)'!$A$1:$M$30, ROWS(B$2:B22)+1,FALSE),0)</f>
        <v>106</v>
      </c>
      <c r="D22" s="43" t="s">
        <v>86</v>
      </c>
      <c r="E22" s="22">
        <f>_xlfn.IFNA(HLOOKUP($B$1, 'MasterData (YTD)'!$A$1:$M$30, ROWS(E$2:E22)+1,FALSE),0)</f>
        <v>106</v>
      </c>
      <c r="G22" s="63" t="s">
        <v>58</v>
      </c>
      <c r="H22" s="24">
        <f>_xlfn.IFNA(HLOOKUP($B$1, 'MasterData (MTH)'!$A$46:$M$73, ROWS(B$3:B22)+1,FALSE),0)</f>
        <v>-18</v>
      </c>
    </row>
    <row r="23" spans="1:8" x14ac:dyDescent="0.3">
      <c r="A23" s="62" t="s">
        <v>58</v>
      </c>
      <c r="B23" s="20">
        <f>_xlfn.IFNA(HLOOKUP($B$1, 'MasterData (MTH)'!$A$1:$M$30, ROWS(B$2:B23)+1,FALSE),0)</f>
        <v>78</v>
      </c>
      <c r="D23" s="43" t="s">
        <v>58</v>
      </c>
      <c r="E23" s="22">
        <f>_xlfn.IFNA(HLOOKUP($B$1, 'MasterData (YTD)'!$A$1:$M$30, ROWS(E$2:E23)+1,FALSE),0)</f>
        <v>78</v>
      </c>
      <c r="G23" s="63" t="s">
        <v>59</v>
      </c>
      <c r="H23" s="24">
        <f>_xlfn.IFNA(HLOOKUP($B$1, 'MasterData (MTH)'!$A$46:$M$73, ROWS(B$3:B23)+1,FALSE),0)</f>
        <v>0</v>
      </c>
    </row>
    <row r="24" spans="1:8" x14ac:dyDescent="0.3">
      <c r="A24" s="62" t="s">
        <v>59</v>
      </c>
      <c r="B24" s="20">
        <f>_xlfn.IFNA(HLOOKUP($B$1, 'MasterData (MTH)'!$A$1:$M$30, ROWS(B$2:B24)+1,FALSE),0)</f>
        <v>0</v>
      </c>
      <c r="D24" s="43" t="s">
        <v>59</v>
      </c>
      <c r="E24" s="22">
        <f>_xlfn.IFNA(HLOOKUP($B$1, 'MasterData (YTD)'!$A$1:$M$30, ROWS(E$2:E24)+1,FALSE),0)</f>
        <v>0</v>
      </c>
      <c r="G24" s="63" t="s">
        <v>64</v>
      </c>
      <c r="H24" s="24">
        <f>_xlfn.IFNA(HLOOKUP($B$1, 'MasterData (MTH)'!$A$46:$M$73, ROWS(B$3:B24)+1,FALSE),0)</f>
        <v>0</v>
      </c>
    </row>
    <row r="25" spans="1:8" x14ac:dyDescent="0.3">
      <c r="A25" s="62" t="s">
        <v>64</v>
      </c>
      <c r="B25" s="20">
        <f>_xlfn.IFNA(HLOOKUP($B$1, 'MasterData (MTH)'!$A$1:$M$30, ROWS(B$2:B25)+1,FALSE),0)</f>
        <v>400</v>
      </c>
      <c r="D25" s="43" t="s">
        <v>64</v>
      </c>
      <c r="E25" s="22">
        <f>_xlfn.IFNA(HLOOKUP($B$1, 'MasterData (YTD)'!$A$1:$M$30, ROWS(E$2:E25)+1,FALSE),0)</f>
        <v>400</v>
      </c>
      <c r="G25" s="63" t="s">
        <v>54</v>
      </c>
      <c r="H25" s="24">
        <f>_xlfn.IFNA(HLOOKUP($B$1, 'MasterData (MTH)'!$A$46:$M$73, ROWS(B$3:B25)+1,FALSE),0)</f>
        <v>55</v>
      </c>
    </row>
    <row r="26" spans="1:8" x14ac:dyDescent="0.3">
      <c r="A26" s="62" t="s">
        <v>54</v>
      </c>
      <c r="B26" s="20">
        <f>_xlfn.IFNA(HLOOKUP($B$1, 'MasterData (MTH)'!$A$1:$M$30, ROWS(B$2:B26)+1,FALSE),0)</f>
        <v>45</v>
      </c>
      <c r="D26" s="43" t="s">
        <v>54</v>
      </c>
      <c r="E26" s="22">
        <f>_xlfn.IFNA(HLOOKUP($B$1, 'MasterData (YTD)'!$A$1:$M$30, ROWS(E$2:E26)+1,FALSE),0)</f>
        <v>45</v>
      </c>
      <c r="G26" s="63" t="s">
        <v>55</v>
      </c>
      <c r="H26" s="24">
        <f>_xlfn.IFNA(HLOOKUP($B$1, 'MasterData (MTH)'!$A$46:$M$73, ROWS(B$3:B26)+1,FALSE),0)</f>
        <v>4.0999999999999943</v>
      </c>
    </row>
    <row r="27" spans="1:8" x14ac:dyDescent="0.3">
      <c r="A27" s="62" t="s">
        <v>55</v>
      </c>
      <c r="B27" s="20">
        <f>_xlfn.IFNA(HLOOKUP($B$1, 'MasterData (MTH)'!$A$1:$M$30, ROWS(B$2:B27)+1,FALSE),0)</f>
        <v>70.900000000000006</v>
      </c>
      <c r="D27" s="43" t="s">
        <v>55</v>
      </c>
      <c r="E27" s="22">
        <f>_xlfn.IFNA(HLOOKUP($B$1, 'MasterData (YTD)'!$A$1:$M$30, ROWS(E$2:E27)+1,FALSE),0)</f>
        <v>70.900000000000006</v>
      </c>
      <c r="G27" s="63" t="s">
        <v>56</v>
      </c>
      <c r="H27" s="24">
        <f>_xlfn.IFNA(HLOOKUP($B$1, 'MasterData (MTH)'!$A$46:$M$73, ROWS(B$3:B27)+1,FALSE),0)</f>
        <v>78.8</v>
      </c>
    </row>
    <row r="28" spans="1:8" x14ac:dyDescent="0.3">
      <c r="A28" s="62" t="s">
        <v>56</v>
      </c>
      <c r="B28" s="20">
        <f>_xlfn.IFNA(HLOOKUP($B$1, 'MasterData (MTH)'!$A$1:$M$30, ROWS(B$2:B28)+1,FALSE),0)</f>
        <v>21.2</v>
      </c>
      <c r="D28" s="43" t="s">
        <v>56</v>
      </c>
      <c r="E28" s="22">
        <f>_xlfn.IFNA(HLOOKUP($B$1, 'MasterData (YTD)'!$A$1:$M$30, ROWS(E$2:E28)+1,FALSE),0)</f>
        <v>21.2</v>
      </c>
      <c r="G28" s="63" t="s">
        <v>57</v>
      </c>
      <c r="H28" s="24">
        <f>_xlfn.IFNA(HLOOKUP($B$1, 'MasterData (MTH)'!$A$46:$M$73, ROWS(B$3:B28)+1,FALSE),0)</f>
        <v>19.5</v>
      </c>
    </row>
    <row r="29" spans="1:8" x14ac:dyDescent="0.3">
      <c r="A29" s="62" t="s">
        <v>57</v>
      </c>
      <c r="B29" s="20">
        <f>_xlfn.IFNA(HLOOKUP($B$1, 'MasterData (MTH)'!$A$1:$M$30, ROWS(B$2:B29)+1,FALSE),0)</f>
        <v>45.5</v>
      </c>
      <c r="D29" s="43" t="s">
        <v>57</v>
      </c>
      <c r="E29" s="22">
        <f>_xlfn.IFNA(HLOOKUP($B$1, 'MasterData (YTD)'!$A$1:$M$30, ROWS(E$2:E29)+1,FALSE),0)</f>
        <v>45.5</v>
      </c>
      <c r="G29" s="9" t="s">
        <v>16</v>
      </c>
      <c r="H29" s="24">
        <f>_xlfn.IFNA(HLOOKUP($B$1, 'MasterData (MTH)'!$A$46:$M$73, ROWS(B$3:B29)+1,FALSE),0)</f>
        <v>0</v>
      </c>
    </row>
    <row r="30" spans="1:8" x14ac:dyDescent="0.3">
      <c r="A30" s="4" t="s">
        <v>16</v>
      </c>
      <c r="B30" s="20">
        <f>_xlfn.IFNA(HLOOKUP($B$1, 'MasterData (MTH)'!$A$1:$M$30, ROWS(B$2:B30)+1,FALSE),0)</f>
        <v>370</v>
      </c>
      <c r="D30" s="2" t="s">
        <v>16</v>
      </c>
      <c r="E30" s="22">
        <f>_xlfn.IFNA(HLOOKUP($B$1, 'MasterData (YTD)'!$A$1:$M$30, ROWS(E$2:E30)+1,FALSE),0)</f>
        <v>370</v>
      </c>
    </row>
    <row r="31" spans="1:8" x14ac:dyDescent="0.3">
      <c r="A31" s="4"/>
      <c r="D31" s="2"/>
    </row>
    <row r="32" spans="1:8" x14ac:dyDescent="0.3">
      <c r="A32" s="4"/>
      <c r="D32" s="2"/>
    </row>
    <row r="33" spans="1:7" x14ac:dyDescent="0.3">
      <c r="A33" s="7" t="s">
        <v>9</v>
      </c>
      <c r="B33" s="20">
        <f>SUM(B4:B10)</f>
        <v>640.53</v>
      </c>
      <c r="D33" s="12" t="s">
        <v>9</v>
      </c>
      <c r="E33" s="22">
        <f>SUM(E4:E10)</f>
        <v>640.53</v>
      </c>
    </row>
    <row r="34" spans="1:7" x14ac:dyDescent="0.3">
      <c r="A34" s="7" t="s">
        <v>10</v>
      </c>
      <c r="B34" s="20">
        <f>SUM(B11:B14)</f>
        <v>319.39999999999998</v>
      </c>
      <c r="D34" s="12" t="s">
        <v>10</v>
      </c>
      <c r="E34" s="22">
        <f>SUM(E11:E14)</f>
        <v>319.39999999999998</v>
      </c>
    </row>
    <row r="35" spans="1:7" x14ac:dyDescent="0.3">
      <c r="A35" s="7" t="s">
        <v>11</v>
      </c>
      <c r="B35" s="20">
        <f>SUM(B15:B16)</f>
        <v>1429.6</v>
      </c>
      <c r="D35" s="12" t="s">
        <v>11</v>
      </c>
      <c r="E35" s="22">
        <f>SUM(E15:E16)</f>
        <v>1429.6</v>
      </c>
      <c r="G35" s="9"/>
    </row>
    <row r="36" spans="1:7" x14ac:dyDescent="0.3">
      <c r="A36" s="7" t="s">
        <v>13</v>
      </c>
      <c r="B36" s="20">
        <f>SUM(B17:B19)</f>
        <v>40.9</v>
      </c>
      <c r="D36" s="12" t="s">
        <v>13</v>
      </c>
      <c r="E36" s="22">
        <f>SUM(E17:E19)</f>
        <v>40.9</v>
      </c>
    </row>
    <row r="37" spans="1:7" x14ac:dyDescent="0.3">
      <c r="A37" s="7" t="s">
        <v>15</v>
      </c>
      <c r="B37" s="20">
        <f>SUM(B20:B22)</f>
        <v>106</v>
      </c>
      <c r="D37" s="12" t="s">
        <v>15</v>
      </c>
      <c r="E37" s="22">
        <f>SUM(E20:E22)</f>
        <v>106</v>
      </c>
    </row>
    <row r="38" spans="1:7" x14ac:dyDescent="0.3">
      <c r="A38" s="7" t="s">
        <v>31</v>
      </c>
      <c r="B38" s="20">
        <f>SUM(B23:B24)</f>
        <v>78</v>
      </c>
      <c r="D38" s="12" t="s">
        <v>31</v>
      </c>
      <c r="E38" s="22">
        <f>SUM(E23:E24)</f>
        <v>78</v>
      </c>
    </row>
    <row r="39" spans="1:7" x14ac:dyDescent="0.3">
      <c r="A39" s="7" t="s">
        <v>32</v>
      </c>
      <c r="B39" s="20">
        <f>SUM(B25:B29)</f>
        <v>582.6</v>
      </c>
      <c r="D39" s="12" t="s">
        <v>32</v>
      </c>
      <c r="E39" s="22">
        <f>SUM(E25:E29)</f>
        <v>582.6</v>
      </c>
    </row>
    <row r="40" spans="1:7" x14ac:dyDescent="0.3">
      <c r="A40" s="7" t="s">
        <v>33</v>
      </c>
      <c r="B40" s="20">
        <f>SUM(B30)</f>
        <v>370</v>
      </c>
      <c r="D40" s="12" t="s">
        <v>33</v>
      </c>
      <c r="E40" s="22">
        <f>SUM(E30)</f>
        <v>370</v>
      </c>
    </row>
    <row r="43" spans="1:7" x14ac:dyDescent="0.3">
      <c r="A43" s="7" t="s">
        <v>71</v>
      </c>
      <c r="B43" s="20">
        <f>SUM(B2:B3)</f>
        <v>3700</v>
      </c>
      <c r="D43" s="12" t="s">
        <v>40</v>
      </c>
      <c r="E43" s="22">
        <f>SUM(E2:E3)</f>
        <v>3700</v>
      </c>
    </row>
    <row r="44" spans="1:7" x14ac:dyDescent="0.3">
      <c r="A44" s="7" t="s">
        <v>41</v>
      </c>
      <c r="B44" s="20">
        <f>SUM(B33:B40)</f>
        <v>3567.0299999999997</v>
      </c>
      <c r="D44" s="12" t="s">
        <v>41</v>
      </c>
      <c r="E44" s="22">
        <f>SUM(E33:E40)</f>
        <v>3567.0299999999997</v>
      </c>
    </row>
    <row r="45" spans="1:7" x14ac:dyDescent="0.3">
      <c r="A45" s="7" t="s">
        <v>34</v>
      </c>
      <c r="B45" s="20">
        <f>B43-B44</f>
        <v>132.97000000000025</v>
      </c>
      <c r="D45" s="12" t="s">
        <v>34</v>
      </c>
      <c r="E45" s="22">
        <f>E43-E44</f>
        <v>132.97000000000025</v>
      </c>
    </row>
  </sheetData>
  <conditionalFormatting sqref="B1:B1048576 H1:H1048576 K1:K1048576 E49:E1048576 E1:E45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Jan</vt:lpstr>
      <vt:lpstr>Feb</vt:lpstr>
      <vt:lpstr>Mar</vt:lpstr>
      <vt:lpstr>Apr</vt:lpstr>
      <vt:lpstr>SnapShot</vt:lpstr>
      <vt:lpstr>MasterData (MTH)</vt:lpstr>
      <vt:lpstr>MasterData (YTD)</vt:lpstr>
      <vt:lpstr>Charts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Marcus Kiong</cp:lastModifiedBy>
  <dcterms:created xsi:type="dcterms:W3CDTF">2021-08-25T13:37:01Z</dcterms:created>
  <dcterms:modified xsi:type="dcterms:W3CDTF">2021-09-05T07:32:24Z</dcterms:modified>
</cp:coreProperties>
</file>